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8_{0E105639-79C5-4242-B947-78BC274FF28E}" xr6:coauthVersionLast="47" xr6:coauthVersionMax="47" xr10:uidLastSave="{00000000-0000-0000-0000-000000000000}"/>
  <bookViews>
    <workbookView xWindow="-120" yWindow="-120" windowWidth="20730" windowHeight="11040" tabRatio="500" firstSheet="1" activeTab="4" xr2:uid="{00000000-000D-0000-FFFF-FFFF00000000}"/>
  </bookViews>
  <sheets>
    <sheet name="Portada" sheetId="1" r:id="rId1"/>
    <sheet name="Accesos por Rol" sheetId="2" r:id="rId2"/>
    <sheet name="Matriz RF" sheetId="3" r:id="rId3"/>
    <sheet name="Resumen por Módulo" sheetId="4" r:id="rId4"/>
    <sheet name="RNF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8" i="4" l="1"/>
  <c r="J8" i="4"/>
  <c r="I8" i="4"/>
  <c r="H8" i="4"/>
  <c r="G8" i="4"/>
  <c r="F8" i="4"/>
  <c r="E8" i="4"/>
  <c r="D8" i="4"/>
  <c r="C8" i="4"/>
  <c r="B8" i="4"/>
  <c r="K7" i="4"/>
  <c r="J7" i="4"/>
  <c r="I7" i="4"/>
  <c r="H7" i="4"/>
  <c r="G7" i="4"/>
  <c r="F7" i="4"/>
  <c r="E7" i="4"/>
  <c r="D7" i="4"/>
  <c r="C7" i="4"/>
  <c r="B7" i="4"/>
  <c r="K6" i="4"/>
  <c r="J6" i="4"/>
  <c r="I6" i="4"/>
  <c r="H6" i="4"/>
  <c r="G6" i="4"/>
  <c r="F6" i="4"/>
  <c r="E6" i="4"/>
  <c r="D6" i="4"/>
  <c r="C6" i="4"/>
  <c r="B6" i="4"/>
  <c r="K5" i="4"/>
  <c r="J5" i="4"/>
  <c r="I5" i="4"/>
  <c r="H5" i="4"/>
  <c r="G5" i="4"/>
  <c r="F5" i="4"/>
  <c r="E5" i="4"/>
  <c r="D5" i="4"/>
  <c r="C5" i="4"/>
  <c r="B5" i="4"/>
  <c r="K4" i="4"/>
  <c r="J4" i="4"/>
  <c r="I4" i="4"/>
  <c r="H4" i="4"/>
  <c r="G4" i="4"/>
  <c r="F4" i="4"/>
  <c r="E4" i="4"/>
  <c r="D4" i="4"/>
  <c r="C4" i="4"/>
  <c r="B4" i="4"/>
  <c r="G34" i="2"/>
  <c r="F34" i="2"/>
  <c r="E34" i="2"/>
  <c r="D34" i="2"/>
  <c r="K9" i="4" l="1"/>
  <c r="J9" i="4"/>
  <c r="I9" i="4"/>
  <c r="H9" i="4"/>
  <c r="G9" i="4"/>
  <c r="F9" i="4"/>
  <c r="E9" i="4"/>
  <c r="D9" i="4"/>
  <c r="C9" i="4"/>
  <c r="B9" i="4"/>
</calcChain>
</file>

<file path=xl/sharedStrings.xml><?xml version="1.0" encoding="utf-8"?>
<sst xmlns="http://schemas.openxmlformats.org/spreadsheetml/2006/main" count="941" uniqueCount="281">
  <si>
    <t>CONTROL STORE</t>
  </si>
  <si>
    <t>Matriz de Requisitos Funcionales</t>
  </si>
  <si>
    <t>IEEE Std 830-1998   ·   v3.0</t>
  </si>
  <si>
    <t>Proyecto:  Control Store — Autoservicio Ayuelal</t>
  </si>
  <si>
    <t>Equipo:  Brayan Torres · Nelson Vargas · David Ortegón</t>
  </si>
  <si>
    <t>Instructor:  Albeiro Ramos</t>
  </si>
  <si>
    <t>Cliente:  Humberto Moreno</t>
  </si>
  <si>
    <t>Programa:  Tecnólogo ADSO — SENA, Centro de Servicios Financieros</t>
  </si>
  <si>
    <t>Versión:  v3.0   —   21/06/2026</t>
  </si>
  <si>
    <t>Hojas del libro</t>
  </si>
  <si>
    <t xml:space="preserve">   • Accesos por Rol — los 30 RF y quién accede a cada uno</t>
  </si>
  <si>
    <t xml:space="preserve">   • Matriz RF — detalle con sub-requisitos INCLUDE/EXTEND</t>
  </si>
  <si>
    <t xml:space="preserve">   • Resumen por Módulo — conteos por módulo</t>
  </si>
  <si>
    <t xml:space="preserve">   • RNF — requisitos no funcionales</t>
  </si>
  <si>
    <t>Convención de sub-requisitos:</t>
  </si>
  <si>
    <t xml:space="preserve">   INCLUDE  =  paso obligatorio del caso de uso</t>
  </si>
  <si>
    <t xml:space="preserve">   EXTEND   =  flujo condicional / excepción</t>
  </si>
  <si>
    <t>CONTROL STORE — Requisitos Funcionales y Accesos por Rol  ·  v3.0</t>
  </si>
  <si>
    <t>MÓDULO</t>
  </si>
  <si>
    <t>CÓDIGO</t>
  </si>
  <si>
    <t>CASO DE USO</t>
  </si>
  <si>
    <t>ADMIN</t>
  </si>
  <si>
    <t>VENDEDOR</t>
  </si>
  <si>
    <t>DOMICILIARIO</t>
  </si>
  <si>
    <t>CLIENTE</t>
  </si>
  <si>
    <t>PRIORIDAD</t>
  </si>
  <si>
    <t>RNF VINCULADOS</t>
  </si>
  <si>
    <t>USUARIOS</t>
  </si>
  <si>
    <t>RF01</t>
  </si>
  <si>
    <t>Iniciar sesión</t>
  </si>
  <si>
    <t>✓</t>
  </si>
  <si>
    <t>—</t>
  </si>
  <si>
    <t>Alta</t>
  </si>
  <si>
    <t>RNF01, RNF02, RNF03</t>
  </si>
  <si>
    <t>RF02</t>
  </si>
  <si>
    <t>Cerrar sesión</t>
  </si>
  <si>
    <t>RNF02, RNF03</t>
  </si>
  <si>
    <t>RF03</t>
  </si>
  <si>
    <t>Recuperar contraseña</t>
  </si>
  <si>
    <t>RF04</t>
  </si>
  <si>
    <t>Registrar usuario</t>
  </si>
  <si>
    <t>RF05</t>
  </si>
  <si>
    <t>Editar usuario</t>
  </si>
  <si>
    <t>Media</t>
  </si>
  <si>
    <t>RNF03, RNF04</t>
  </si>
  <si>
    <t>RF06</t>
  </si>
  <si>
    <t>Actualizar estado de usuario</t>
  </si>
  <si>
    <t>RNF02, RNF04</t>
  </si>
  <si>
    <t>RF07</t>
  </si>
  <si>
    <t>Cambiar contraseña</t>
  </si>
  <si>
    <t>INVENTARIO</t>
  </si>
  <si>
    <t>RF08</t>
  </si>
  <si>
    <t>Registrar producto</t>
  </si>
  <si>
    <t>RNF01, RNF02</t>
  </si>
  <si>
    <t>RF09</t>
  </si>
  <si>
    <t>Listar productos</t>
  </si>
  <si>
    <t>RNF01, RNF05</t>
  </si>
  <si>
    <t>RF10</t>
  </si>
  <si>
    <t>Consultar producto</t>
  </si>
  <si>
    <t>RF11</t>
  </si>
  <si>
    <t>Editar producto</t>
  </si>
  <si>
    <t>RF12</t>
  </si>
  <si>
    <t>Eliminar producto</t>
  </si>
  <si>
    <t>Baja</t>
  </si>
  <si>
    <t>RF13</t>
  </si>
  <si>
    <t>Alerta de vencimiento y stock mínimo</t>
  </si>
  <si>
    <t>VENTAS</t>
  </si>
  <si>
    <t>RF14</t>
  </si>
  <si>
    <t>Registrar venta</t>
  </si>
  <si>
    <t>RNF01, RNF02, RNF06</t>
  </si>
  <si>
    <t>RF15</t>
  </si>
  <si>
    <t>Listar ventas</t>
  </si>
  <si>
    <t>RF16</t>
  </si>
  <si>
    <t>Consultar venta</t>
  </si>
  <si>
    <t>RF17</t>
  </si>
  <si>
    <t>Anular venta</t>
  </si>
  <si>
    <t>RF18</t>
  </si>
  <si>
    <t>Cierre de caja</t>
  </si>
  <si>
    <t>RNF01, RNF02, RNF04</t>
  </si>
  <si>
    <t>DOMICILIOS</t>
  </si>
  <si>
    <t>RF19</t>
  </si>
  <si>
    <t>Iniciar pedido a domicilio vía chatbot</t>
  </si>
  <si>
    <t>RNF01, RNF06, RNF07</t>
  </si>
  <si>
    <t>RF20</t>
  </si>
  <si>
    <t>Consultar catálogo de productos vía chatbot</t>
  </si>
  <si>
    <t>RNF01, RNF05, RNF06</t>
  </si>
  <si>
    <t>RF21</t>
  </si>
  <si>
    <t>Confirmar y enviar pedido vía chatbot</t>
  </si>
  <si>
    <t>RF22</t>
  </si>
  <si>
    <t>Registrar pedido de domicilio en el sistema</t>
  </si>
  <si>
    <t>RF23</t>
  </si>
  <si>
    <t>Asignar domiciliario al pedido</t>
  </si>
  <si>
    <t>RF24</t>
  </si>
  <si>
    <t>Actualizar estado del pedido</t>
  </si>
  <si>
    <t>RF25</t>
  </si>
  <si>
    <t>Notificar estado del pedido al cliente</t>
  </si>
  <si>
    <t>REPORTES</t>
  </si>
  <si>
    <t>RF26</t>
  </si>
  <si>
    <t>Reporte gráfico de ventas</t>
  </si>
  <si>
    <t>RF27</t>
  </si>
  <si>
    <t>Reporte impreso de ventas</t>
  </si>
  <si>
    <t>RF28</t>
  </si>
  <si>
    <t>Reporte gráfico de inventario</t>
  </si>
  <si>
    <t>RF29</t>
  </si>
  <si>
    <t>Reporte impreso de productos</t>
  </si>
  <si>
    <t>RF30</t>
  </si>
  <si>
    <t>Reporte de domicilios</t>
  </si>
  <si>
    <t>TOTAL (30 RF)</t>
  </si>
  <si>
    <t>CONTROL STORE — Matriz de Requisitos Funcionales v3.0   |   IEEE Std 830-1998</t>
  </si>
  <si>
    <t>TIPO</t>
  </si>
  <si>
    <t>CASO DE USO / SUB-FUNCIÓN</t>
  </si>
  <si>
    <t>MÓDULO: USUARIOS</t>
  </si>
  <si>
    <t>Principal</t>
  </si>
  <si>
    <t xml:space="preserve">   RF01.1</t>
  </si>
  <si>
    <t>INCLUDE</t>
  </si>
  <si>
    <t xml:space="preserve">      Validar credenciales en BD</t>
  </si>
  <si>
    <t xml:space="preserve">   RF01.2</t>
  </si>
  <si>
    <t>EXTEND</t>
  </si>
  <si>
    <t xml:space="preserve">      Error de credenciales incorrectas</t>
  </si>
  <si>
    <t xml:space="preserve">   RF01.3</t>
  </si>
  <si>
    <t xml:space="preserve">      Bloquear usuario inactivo</t>
  </si>
  <si>
    <t xml:space="preserve">   RF02.1</t>
  </si>
  <si>
    <t xml:space="preserve">      Validar token de sesión</t>
  </si>
  <si>
    <t xml:space="preserve">   RF03.1</t>
  </si>
  <si>
    <t xml:space="preserve">      Enviar email con enlace</t>
  </si>
  <si>
    <t xml:space="preserve">   RF03.2</t>
  </si>
  <si>
    <t xml:space="preserve">      Error de correo no registrado</t>
  </si>
  <si>
    <t xml:space="preserve">   RF04.1</t>
  </si>
  <si>
    <t xml:space="preserve">      Cifrar contraseña (bcrypt)</t>
  </si>
  <si>
    <t xml:space="preserve">   RF04.2</t>
  </si>
  <si>
    <t xml:space="preserve">      Validar correo duplicado</t>
  </si>
  <si>
    <t xml:space="preserve">   RF05.1</t>
  </si>
  <si>
    <t xml:space="preserve">      Registrar log de auditoría</t>
  </si>
  <si>
    <t xml:space="preserve">   RF06.2</t>
  </si>
  <si>
    <t xml:space="preserve">      Bloquear acceso al desactivar</t>
  </si>
  <si>
    <t xml:space="preserve">   RF07.1</t>
  </si>
  <si>
    <t xml:space="preserve">      Validar contraseña actual</t>
  </si>
  <si>
    <t xml:space="preserve">   RF07.2</t>
  </si>
  <si>
    <t xml:space="preserve">      Cifrar nueva contraseña (bcrypt)</t>
  </si>
  <si>
    <t>MÓDULO: INVENTARIO</t>
  </si>
  <si>
    <t xml:space="preserve">   RF08.1</t>
  </si>
  <si>
    <t xml:space="preserve">      Validar código de barras</t>
  </si>
  <si>
    <t xml:space="preserve">   RF08.2</t>
  </si>
  <si>
    <t xml:space="preserve">      Guardar en base de datos</t>
  </si>
  <si>
    <t xml:space="preserve">   RF08.3</t>
  </si>
  <si>
    <t xml:space="preserve">      Error de código duplicado</t>
  </si>
  <si>
    <t xml:space="preserve">   RF09.1</t>
  </si>
  <si>
    <t xml:space="preserve">      Consultar BD de inventario</t>
  </si>
  <si>
    <t xml:space="preserve">   RF10.1</t>
  </si>
  <si>
    <t xml:space="preserve">   RF10.2</t>
  </si>
  <si>
    <t xml:space="preserve">      Mostrar historial de movimientos</t>
  </si>
  <si>
    <t xml:space="preserve">   RF11.1</t>
  </si>
  <si>
    <t xml:space="preserve">      Guardar cambios en BD</t>
  </si>
  <si>
    <t xml:space="preserve">   RF11.2</t>
  </si>
  <si>
    <t xml:space="preserve">   RF11.3</t>
  </si>
  <si>
    <t xml:space="preserve">      Alerta de stock</t>
  </si>
  <si>
    <t xml:space="preserve">   RF12.1</t>
  </si>
  <si>
    <t xml:space="preserve">      Confirmar eliminación</t>
  </si>
  <si>
    <t xml:space="preserve">   RF12.2</t>
  </si>
  <si>
    <t xml:space="preserve">   RF13.1</t>
  </si>
  <si>
    <t xml:space="preserve">   RF13.2</t>
  </si>
  <si>
    <t xml:space="preserve">      Notificar vencimiento</t>
  </si>
  <si>
    <t xml:space="preserve">   RF13.3</t>
  </si>
  <si>
    <t xml:space="preserve">      Notificar stock mínimo</t>
  </si>
  <si>
    <t>MÓDULO: VENTAS</t>
  </si>
  <si>
    <t xml:space="preserve">   RF14.1</t>
  </si>
  <si>
    <t xml:space="preserve">      Calcular total automático</t>
  </si>
  <si>
    <t xml:space="preserve">   RF14.2</t>
  </si>
  <si>
    <t xml:space="preserve">      Descontar stock en BD</t>
  </si>
  <si>
    <t xml:space="preserve">   RF14.3</t>
  </si>
  <si>
    <t xml:space="preserve">      Generar comprobante de venta</t>
  </si>
  <si>
    <t xml:space="preserve">   RF14.4</t>
  </si>
  <si>
    <t xml:space="preserve">      Pago QR (Nequi/Daviplata)</t>
  </si>
  <si>
    <t xml:space="preserve">   RF14.5</t>
  </si>
  <si>
    <t xml:space="preserve">      Error de stock insuficiente</t>
  </si>
  <si>
    <t xml:space="preserve">   RF15.1</t>
  </si>
  <si>
    <t xml:space="preserve">      Consultar BD de ventas</t>
  </si>
  <si>
    <t xml:space="preserve">   RF16.1</t>
  </si>
  <si>
    <t xml:space="preserve">   RF17.1</t>
  </si>
  <si>
    <t xml:space="preserve">      Confirmar y registrar motivo</t>
  </si>
  <si>
    <t xml:space="preserve">   RF17.2</t>
  </si>
  <si>
    <t xml:space="preserve">      Revertir stock en BD</t>
  </si>
  <si>
    <t xml:space="preserve">   RF17.3</t>
  </si>
  <si>
    <t xml:space="preserve">   RF18.1</t>
  </si>
  <si>
    <t xml:space="preserve">      Consultar ventas del día en BD</t>
  </si>
  <si>
    <t xml:space="preserve">   RF18.2</t>
  </si>
  <si>
    <t xml:space="preserve">      Calcular totales por método</t>
  </si>
  <si>
    <t xml:space="preserve">   RF18.3</t>
  </si>
  <si>
    <t xml:space="preserve">      Generar comprobante de cierre</t>
  </si>
  <si>
    <t>MÓDULO: DOMICILIOS</t>
  </si>
  <si>
    <t xml:space="preserve">   RF19.1</t>
  </si>
  <si>
    <t xml:space="preserve">      Mensaje fuera de horario</t>
  </si>
  <si>
    <t xml:space="preserve">   RF19.2</t>
  </si>
  <si>
    <t xml:space="preserve">      Opción inválida del menú</t>
  </si>
  <si>
    <t xml:space="preserve">   RF20.1</t>
  </si>
  <si>
    <t xml:space="preserve">   RF20.2</t>
  </si>
  <si>
    <t xml:space="preserve">      Validar stock de productos</t>
  </si>
  <si>
    <t xml:space="preserve">   RF21.1</t>
  </si>
  <si>
    <t xml:space="preserve">      Mostrar resumen y total</t>
  </si>
  <si>
    <t xml:space="preserve">   RF21.2</t>
  </si>
  <si>
    <t xml:space="preserve">      Producto sin stock</t>
  </si>
  <si>
    <t xml:space="preserve">   RF21.3</t>
  </si>
  <si>
    <t xml:space="preserve">      Timeout sin confirmar</t>
  </si>
  <si>
    <t xml:space="preserve">   RF22.1</t>
  </si>
  <si>
    <t xml:space="preserve">      Guardar pedido en BD</t>
  </si>
  <si>
    <t xml:space="preserve">   RF22.2</t>
  </si>
  <si>
    <t xml:space="preserve">      Estado inicial 'Pendiente'</t>
  </si>
  <si>
    <t xml:space="preserve">   RF23.1</t>
  </si>
  <si>
    <t xml:space="preserve">      Notificar al Admin nuevo pedido</t>
  </si>
  <si>
    <t xml:space="preserve">   RF23.2</t>
  </si>
  <si>
    <t xml:space="preserve">      Cambiar estado a 'Alistando'</t>
  </si>
  <si>
    <t xml:space="preserve">   RF23.3</t>
  </si>
  <si>
    <t xml:space="preserve">      Notificar al domiciliario</t>
  </si>
  <si>
    <t xml:space="preserve">   RF24.1</t>
  </si>
  <si>
    <t xml:space="preserve">      Sin domiciliarios disponibles</t>
  </si>
  <si>
    <t xml:space="preserve">   RF24.2</t>
  </si>
  <si>
    <t xml:space="preserve">      Registrar marca de tiempo del cambio</t>
  </si>
  <si>
    <t xml:space="preserve">   RF24.3</t>
  </si>
  <si>
    <t xml:space="preserve">      Guardar estado en BD</t>
  </si>
  <si>
    <t xml:space="preserve">   RF25.1</t>
  </si>
  <si>
    <t xml:space="preserve">      Marcar 'No entregado'</t>
  </si>
  <si>
    <t xml:space="preserve">   RF25.2</t>
  </si>
  <si>
    <t xml:space="preserve">      Enviar mensaje por WhatsApp</t>
  </si>
  <si>
    <t>MÓDULO: REPORTES</t>
  </si>
  <si>
    <t xml:space="preserve">   RF26.1</t>
  </si>
  <si>
    <t xml:space="preserve">   RF26.2</t>
  </si>
  <si>
    <t xml:space="preserve">      Generar gráfico</t>
  </si>
  <si>
    <t xml:space="preserve">   RF27.1</t>
  </si>
  <si>
    <t xml:space="preserve">      Exportar a PDF/Excel</t>
  </si>
  <si>
    <t xml:space="preserve">   RF28.1</t>
  </si>
  <si>
    <t xml:space="preserve">   RF28.2</t>
  </si>
  <si>
    <t xml:space="preserve">   RF29.1</t>
  </si>
  <si>
    <t xml:space="preserve">   RF30.1</t>
  </si>
  <si>
    <t xml:space="preserve">      Consultar BD de domicilios</t>
  </si>
  <si>
    <t xml:space="preserve">   RF30.2</t>
  </si>
  <si>
    <t xml:space="preserve">      Enviar estado de pedido</t>
  </si>
  <si>
    <t>Resumen de Requisitos Funcionales por Módulo  ·  Control Store v3.0</t>
  </si>
  <si>
    <t>RF PRINC.</t>
  </si>
  <si>
    <t>DOMIC.</t>
  </si>
  <si>
    <t>ALTA</t>
  </si>
  <si>
    <t>MEDIA</t>
  </si>
  <si>
    <t>BAJA</t>
  </si>
  <si>
    <t>TOTAL</t>
  </si>
  <si>
    <t>Leyenda de prioridades</t>
  </si>
  <si>
    <t>Funcionalidad crítica para el negocio</t>
  </si>
  <si>
    <t>Importante pero no bloqueante</t>
  </si>
  <si>
    <t>Deseable a futuro</t>
  </si>
  <si>
    <t>Requisitos No Funcionales — Control Store v3.0</t>
  </si>
  <si>
    <t>NOMBRE</t>
  </si>
  <si>
    <t>DESCRIPCIÓN RESUMIDA</t>
  </si>
  <si>
    <t>RNF01</t>
  </si>
  <si>
    <t>Rendimiento</t>
  </si>
  <si>
    <t>El sistema debe responder en menos de 2 segundos para el 95% de las transacciones de venta y consultas de inventario. El tiempo de carga de páginas no deberá superar los 3 segundos en conexiones de banda ancha estándar.</t>
  </si>
  <si>
    <t>RNF02</t>
  </si>
  <si>
    <t>Seguridad de acceso</t>
  </si>
  <si>
    <t>El sistema debe garantizar que cada usuario acceda únicamente a las funciones correspondientes a su rol (ADMIN, VENDEDOR, DOMICILIARIO). Las contraseñas deben almacenarse cifradas con algoritmo bcrypt. Solo el ADMIN podrá anular ventas, modificar precios y consultar reportes financieros.</t>
  </si>
  <si>
    <t>RNF03</t>
  </si>
  <si>
    <t>Seguridad de datos</t>
  </si>
  <si>
    <t>El sistema debe cifrar la comunicación entre cliente y servidor mediante HTTPS con certificado SSL en producción. Los datos personales de clientes y empleados deberán manejarse conforme a la Ley 1581 de 2012 de protección de datos personales (Colombia).</t>
  </si>
  <si>
    <t>RNF04</t>
  </si>
  <si>
    <t>Auditoría</t>
  </si>
  <si>
    <t>El sistema debe registrar en un log de auditoría todas las acciones críticas: inicios de sesión, anulaciones de ventas, cambios de precio, creación y eliminación de usuarios. Cada registro deberá incluir fecha, hora, usuario y descripción de la acción.</t>
  </si>
  <si>
    <t>RNF05</t>
  </si>
  <si>
    <t>Disponibilidad</t>
  </si>
  <si>
    <t>El sistema debe estar disponible el 99% del tiempo en horario comercial (7:00 AM – 10:00 PM). En caso de fallo, el tiempo de recuperación no deberá superar los 30 minutos.</t>
  </si>
  <si>
    <t>RNF06</t>
  </si>
  <si>
    <t>Concurrencia</t>
  </si>
  <si>
    <t>El sistema debe soportar al menos 5 usuarios simultáneos (Administrador, 2 Vendedores, Domiciliario, Chatbot) sin degradación del rendimiento. El módulo de chatbot de WhatsApp deberá procesar al menos 10 conversaciones simultáneas sin pérdida de datos.</t>
  </si>
  <si>
    <t>RNF07</t>
  </si>
  <si>
    <t>Usabilidad</t>
  </si>
  <si>
    <t>El sistema debe tener una interfaz web responsiva (Bootstrap 5) que funcione correctamente en celulares, tablets y computadores. La navegación deberá ser intuitiva para usuarios con conocimientos básicos de informática. El chatbot de WhatsApp deberá usar lenguaje claro y opciones numeradas fáciles de entender.</t>
  </si>
  <si>
    <t>RNF08</t>
  </si>
  <si>
    <t>Portabilidad</t>
  </si>
  <si>
    <t>El sistema debe poder ejecutarse sobre MySQL 8 tanto en ambiente de pruebas como en producción, sin requerir cambios en el código fuente. El sistema deberá poder desplegarse en servidores Linux (Ubuntu 22.04) o Windows Server.</t>
  </si>
  <si>
    <t>RNF09</t>
  </si>
  <si>
    <t>Mantenibilidad</t>
  </si>
  <si>
    <t>El código fuente del sistema debe estar organizado siguiendo el patrón MVC de Laravel (Model – View – Controller), con comentarios en funciones clave y nombres de variables descriptivos en español. Cada módulo debe estar separado con sus propios controladores y modelos independientes.</t>
  </si>
  <si>
    <t>RNF10</t>
  </si>
  <si>
    <t>Idioma y localización</t>
  </si>
  <si>
    <t>El sistema debe estar completamente en español colombiano. Los formatos de fecha deben ser DD/MM/AAAA, la moneda en pesos colombianos (COP $) y las horas en formato 12h AM/PM. El chatbot de WhatsApp deberá responder en español con vocabulario cotidiano y amigable.</t>
  </si>
  <si>
    <t>30 Requisitos Funcionales principales  ·  64 sub-requisitos  ·  5 módulos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</si>
</sst>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charset val="1"/>
    </font>
    <font>
      <b/>
      <sz val="26"/>
      <color rgb="FFFFFFFF"/>
      <name val="Arial"/>
      <charset val="1"/>
    </font>
    <font>
      <b/>
      <sz val="14"/>
      <color rgb="FF1F3864"/>
      <name val="Arial"/>
      <charset val="1"/>
    </font>
    <font>
      <sz val="10"/>
      <color rgb="FF2E5496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1"/>
      <color rgb="FF1F3864"/>
      <name val="Arial"/>
      <charset val="1"/>
    </font>
    <font>
      <b/>
      <sz val="12"/>
      <color rgb="FF1F3864"/>
      <name val="Arial"/>
      <charset val="1"/>
    </font>
    <font>
      <sz val="10"/>
      <color rgb="FF1F3864"/>
      <name val="Arial"/>
      <charset val="1"/>
    </font>
    <font>
      <b/>
      <sz val="10"/>
      <color rgb="FF1F3864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name val="Arial"/>
      <charset val="1"/>
    </font>
    <font>
      <sz val="10"/>
      <color rgb="FFB0B8C4"/>
      <name val="Arial"/>
      <charset val="1"/>
    </font>
    <font>
      <b/>
      <sz val="9"/>
      <color rgb="FF1F3864"/>
      <name val="Arial"/>
      <charset val="1"/>
    </font>
    <font>
      <sz val="9"/>
      <name val="Arial"/>
      <charset val="1"/>
    </font>
    <font>
      <b/>
      <sz val="9"/>
      <color rgb="FF4472C4"/>
      <name val="Arial"/>
      <charset val="1"/>
    </font>
    <font>
      <b/>
      <sz val="9"/>
      <color rgb="FF8EAADB"/>
      <name val="Arial"/>
      <charset val="1"/>
    </font>
    <font>
      <b/>
      <sz val="9"/>
      <color rgb="FFFFFFFF"/>
      <name val="Arial"/>
      <charset val="1"/>
    </font>
    <font>
      <b/>
      <sz val="10"/>
      <color theme="0"/>
      <name val="Arial"/>
      <family val="2"/>
    </font>
    <font>
      <b/>
      <i/>
      <sz val="10"/>
      <color rgb="FFFFFFFF"/>
      <name val="Arial"/>
      <family val="2"/>
    </font>
    <font>
      <b/>
      <i/>
      <sz val="11"/>
      <color rgb="FFFFFFFF"/>
      <name val="Arial"/>
      <family val="2"/>
    </font>
    <font>
      <b/>
      <i/>
      <sz val="9"/>
      <name val="Arial"/>
      <family val="2"/>
    </font>
    <font>
      <b/>
      <i/>
      <sz val="10"/>
      <color rgb="FF1F3864"/>
      <name val="Arial"/>
      <family val="2"/>
    </font>
    <font>
      <b/>
      <i/>
      <sz val="10"/>
      <name val="Arial"/>
      <family val="2"/>
    </font>
    <font>
      <b/>
      <i/>
      <sz val="9"/>
      <color rgb="FF1F3864"/>
      <name val="Arial"/>
      <family val="2"/>
    </font>
    <font>
      <b/>
      <i/>
      <sz val="8"/>
      <color rgb="FF808080"/>
      <name val="Arial"/>
      <family val="2"/>
    </font>
    <font>
      <b/>
      <i/>
      <sz val="8"/>
      <color rgb="FF1F3864"/>
      <name val="Arial"/>
      <family val="2"/>
    </font>
    <font>
      <b/>
      <i/>
      <sz val="9"/>
      <color rgb="FF404040"/>
      <name val="Arial"/>
      <family val="2"/>
    </font>
    <font>
      <b/>
      <i/>
      <sz val="11"/>
      <color theme="1"/>
      <name val="Calibri"/>
      <family val="2"/>
      <charset val="1"/>
    </font>
    <font>
      <b/>
      <i/>
      <sz val="9"/>
      <color rgb="FF4472C4"/>
      <name val="Arial"/>
      <family val="2"/>
    </font>
    <font>
      <b/>
      <i/>
      <sz val="9"/>
      <color rgb="FF8EAADB"/>
      <name val="Arial"/>
      <family val="2"/>
    </font>
    <font>
      <b/>
      <sz val="11"/>
      <color rgb="FF1F3864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9E1F2"/>
        <bgColor rgb="FFDCE3F3"/>
      </patternFill>
    </fill>
    <fill>
      <patternFill patternType="solid">
        <fgColor rgb="FFDEEBF7"/>
        <bgColor rgb="FFE2EDF8"/>
      </patternFill>
    </fill>
    <fill>
      <patternFill patternType="solid">
        <fgColor rgb="FFB4C7E7"/>
        <bgColor rgb="FFBFBFBF"/>
      </patternFill>
    </fill>
    <fill>
      <patternFill patternType="solid">
        <fgColor rgb="FF2E5496"/>
        <bgColor rgb="FF1F3864"/>
      </patternFill>
    </fill>
    <fill>
      <patternFill patternType="solid">
        <fgColor rgb="FFEEF3FB"/>
        <bgColor rgb="FFEAF0FA"/>
      </patternFill>
    </fill>
    <fill>
      <patternFill patternType="solid">
        <fgColor rgb="FFDCE3F3"/>
        <bgColor rgb="FFD9E1F2"/>
      </patternFill>
    </fill>
    <fill>
      <patternFill patternType="solid">
        <fgColor rgb="FF4472C4"/>
        <bgColor rgb="FF666699"/>
      </patternFill>
    </fill>
    <fill>
      <patternFill patternType="solid">
        <fgColor rgb="FFDFE6F5"/>
        <bgColor rgb="FFDCE3F3"/>
      </patternFill>
    </fill>
    <fill>
      <patternFill patternType="solid">
        <fgColor rgb="FF5B9BD5"/>
        <bgColor rgb="FF8EAADB"/>
      </patternFill>
    </fill>
    <fill>
      <patternFill patternType="solid">
        <fgColor rgb="FFE2EDF8"/>
        <bgColor rgb="FFDEEBF7"/>
      </patternFill>
    </fill>
    <fill>
      <patternFill patternType="solid">
        <fgColor rgb="FF8EAADB"/>
        <bgColor rgb="FFB0B8C4"/>
      </patternFill>
    </fill>
    <fill>
      <patternFill patternType="solid">
        <fgColor rgb="FFEAF0FA"/>
        <bgColor rgb="FFEEF3FB"/>
      </patternFill>
    </fill>
    <fill>
      <patternFill patternType="solid">
        <fgColor rgb="FFF2F2F2"/>
        <bgColor rgb="FFEEF3FB"/>
      </patternFill>
    </fill>
    <fill>
      <patternFill patternType="solid">
        <fgColor rgb="FFFFFFFF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EEF3FB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9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left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9" fillId="6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19" fillId="9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/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8" fillId="0" borderId="2" xfId="0" applyFont="1" applyBorder="1"/>
    <xf numFmtId="0" fontId="6" fillId="0" borderId="2" xfId="0" applyFont="1" applyBorder="1" applyAlignment="1">
      <alignment horizontal="left" vertical="center" wrapText="1"/>
    </xf>
    <xf numFmtId="0" fontId="9" fillId="4" borderId="2" xfId="0" applyFont="1" applyFill="1" applyBorder="1"/>
    <xf numFmtId="0" fontId="9" fillId="5" borderId="2" xfId="0" applyFont="1" applyFill="1" applyBorder="1"/>
    <xf numFmtId="0" fontId="20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30" fillId="16" borderId="1" xfId="0" applyFont="1" applyFill="1" applyBorder="1"/>
    <xf numFmtId="0" fontId="26" fillId="5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left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left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left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23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horizontal="left" vertical="center" wrapText="1"/>
    </xf>
    <xf numFmtId="0" fontId="31" fillId="14" borderId="1" xfId="0" applyFont="1" applyFill="1" applyBorder="1" applyAlignment="1">
      <alignment horizontal="center" vertical="center" wrapText="1"/>
    </xf>
    <xf numFmtId="0" fontId="23" fillId="14" borderId="1" xfId="0" applyFont="1" applyFill="1" applyBorder="1" applyAlignment="1">
      <alignment horizontal="left" vertical="center" wrapText="1"/>
    </xf>
    <xf numFmtId="0" fontId="32" fillId="14" borderId="1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left" vertical="center" wrapText="1"/>
    </xf>
    <xf numFmtId="0" fontId="13" fillId="17" borderId="1" xfId="0" applyFont="1" applyFill="1" applyBorder="1" applyAlignment="1">
      <alignment horizontal="left" vertical="center" wrapText="1"/>
    </xf>
    <xf numFmtId="0" fontId="16" fillId="17" borderId="1" xfId="0" applyFont="1" applyFill="1" applyBorder="1" applyAlignment="1">
      <alignment horizontal="left" vertical="center" wrapText="1"/>
    </xf>
    <xf numFmtId="0" fontId="13" fillId="18" borderId="1" xfId="0" applyFont="1" applyFill="1" applyBorder="1" applyAlignment="1">
      <alignment horizontal="left" vertical="center" wrapText="1"/>
    </xf>
    <xf numFmtId="0" fontId="16" fillId="18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left" vertical="center"/>
    </xf>
    <xf numFmtId="0" fontId="22" fillId="6" borderId="1" xfId="0" applyFont="1" applyFill="1" applyBorder="1" applyAlignment="1">
      <alignment horizontal="left" vertical="center"/>
    </xf>
    <xf numFmtId="0" fontId="22" fillId="9" borderId="1" xfId="0" applyFont="1" applyFill="1" applyBorder="1" applyAlignment="1">
      <alignment horizontal="left" vertical="center"/>
    </xf>
    <xf numFmtId="0" fontId="22" fillId="11" borderId="1" xfId="0" applyFont="1" applyFill="1" applyBorder="1" applyAlignment="1">
      <alignment horizontal="left" vertical="center"/>
    </xf>
    <xf numFmtId="0" fontId="16" fillId="0" borderId="0" xfId="0" applyFont="1"/>
    <xf numFmtId="0" fontId="0" fillId="1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2F2F2"/>
      <rgbColor rgb="FFDEEBF7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DF8"/>
      <rgbColor rgb="FFEAF0FA"/>
      <rgbColor rgb="FFEEF3FB"/>
      <rgbColor rgb="FFB0B8C4"/>
      <rgbColor rgb="FFDFE6F5"/>
      <rgbColor rgb="FFDCE3F3"/>
      <rgbColor rgb="FFD9E1F2"/>
      <rgbColor rgb="FF4472C4"/>
      <rgbColor rgb="FF33CCCC"/>
      <rgbColor rgb="FF99CC00"/>
      <rgbColor rgb="FFFFCC00"/>
      <rgbColor rgb="FFFF9900"/>
      <rgbColor rgb="FFFF6600"/>
      <rgbColor rgb="FF666699"/>
      <rgbColor rgb="FF5B9BD5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3"/>
  <sheetViews>
    <sheetView showGridLines="0" topLeftCell="A3" zoomScaleNormal="100" workbookViewId="0">
      <selection activeCell="B13" sqref="B13"/>
    </sheetView>
  </sheetViews>
  <sheetFormatPr baseColWidth="10" defaultColWidth="8.7109375" defaultRowHeight="15" x14ac:dyDescent="0.25"/>
  <cols>
    <col min="1" max="1" width="3" customWidth="1"/>
    <col min="2" max="2" width="80" customWidth="1"/>
  </cols>
  <sheetData>
    <row r="2" spans="2:2" ht="33.75" customHeight="1" x14ac:dyDescent="0.25">
      <c r="B2" s="65" t="s">
        <v>0</v>
      </c>
    </row>
    <row r="3" spans="2:2" ht="18" x14ac:dyDescent="0.25">
      <c r="B3" s="66" t="s">
        <v>1</v>
      </c>
    </row>
    <row r="4" spans="2:2" x14ac:dyDescent="0.25">
      <c r="B4" s="67" t="s">
        <v>2</v>
      </c>
    </row>
    <row r="5" spans="2:2" x14ac:dyDescent="0.25">
      <c r="B5" s="68"/>
    </row>
    <row r="6" spans="2:2" x14ac:dyDescent="0.25">
      <c r="B6" s="69" t="s">
        <v>3</v>
      </c>
    </row>
    <row r="7" spans="2:2" x14ac:dyDescent="0.25">
      <c r="B7" s="70" t="s">
        <v>4</v>
      </c>
    </row>
    <row r="8" spans="2:2" x14ac:dyDescent="0.25">
      <c r="B8" s="70" t="s">
        <v>5</v>
      </c>
    </row>
    <row r="9" spans="2:2" x14ac:dyDescent="0.25">
      <c r="B9" s="70" t="s">
        <v>6</v>
      </c>
    </row>
    <row r="10" spans="2:2" x14ac:dyDescent="0.25">
      <c r="B10" s="70" t="s">
        <v>7</v>
      </c>
    </row>
    <row r="11" spans="2:2" x14ac:dyDescent="0.25">
      <c r="B11" s="70" t="s">
        <v>8</v>
      </c>
    </row>
    <row r="12" spans="2:2" x14ac:dyDescent="0.25">
      <c r="B12" s="68"/>
    </row>
    <row r="13" spans="2:2" x14ac:dyDescent="0.25">
      <c r="B13" s="117" t="s">
        <v>280</v>
      </c>
    </row>
    <row r="14" spans="2:2" x14ac:dyDescent="0.25">
      <c r="B14" s="68"/>
    </row>
    <row r="15" spans="2:2" ht="15.75" x14ac:dyDescent="0.25">
      <c r="B15" s="71" t="s">
        <v>9</v>
      </c>
    </row>
    <row r="16" spans="2:2" x14ac:dyDescent="0.25">
      <c r="B16" s="72" t="s">
        <v>10</v>
      </c>
    </row>
    <row r="17" spans="2:2" x14ac:dyDescent="0.25">
      <c r="B17" s="72" t="s">
        <v>11</v>
      </c>
    </row>
    <row r="18" spans="2:2" x14ac:dyDescent="0.25">
      <c r="B18" s="72" t="s">
        <v>12</v>
      </c>
    </row>
    <row r="19" spans="2:2" x14ac:dyDescent="0.25">
      <c r="B19" s="72" t="s">
        <v>13</v>
      </c>
    </row>
    <row r="20" spans="2:2" x14ac:dyDescent="0.25">
      <c r="B20" s="68"/>
    </row>
    <row r="21" spans="2:2" x14ac:dyDescent="0.25">
      <c r="B21" s="73" t="s">
        <v>14</v>
      </c>
    </row>
    <row r="22" spans="2:2" x14ac:dyDescent="0.25">
      <c r="B22" s="74" t="s">
        <v>15</v>
      </c>
    </row>
    <row r="23" spans="2:2" x14ac:dyDescent="0.25">
      <c r="B23" s="75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showGridLines="0" zoomScaleNormal="100" workbookViewId="0">
      <pane ySplit="3" topLeftCell="A22" activePane="bottomLeft" state="frozen"/>
      <selection pane="bottomLeft" activeCell="O26" sqref="O26"/>
    </sheetView>
  </sheetViews>
  <sheetFormatPr baseColWidth="10" defaultColWidth="8.7109375" defaultRowHeight="15" x14ac:dyDescent="0.25"/>
  <cols>
    <col min="1" max="1" width="13" customWidth="1"/>
    <col min="2" max="2" width="9" customWidth="1"/>
    <col min="3" max="3" width="34" customWidth="1"/>
    <col min="4" max="4" width="8" customWidth="1"/>
    <col min="5" max="5" width="10" customWidth="1"/>
    <col min="6" max="6" width="13" customWidth="1"/>
    <col min="7" max="7" width="10" customWidth="1"/>
    <col min="8" max="8" width="11" customWidth="1"/>
    <col min="9" max="9" width="20" customWidth="1"/>
  </cols>
  <sheetData>
    <row r="1" spans="1:9" ht="25.5" customHeight="1" x14ac:dyDescent="0.25">
      <c r="A1" s="122" t="s">
        <v>17</v>
      </c>
      <c r="B1" s="122"/>
      <c r="C1" s="122"/>
      <c r="D1" s="122"/>
      <c r="E1" s="122"/>
      <c r="F1" s="122"/>
      <c r="G1" s="122"/>
      <c r="H1" s="122"/>
      <c r="I1" s="122"/>
    </row>
    <row r="2" spans="1:9" ht="3.75" customHeight="1" x14ac:dyDescent="0.25">
      <c r="A2" s="130"/>
      <c r="B2" s="130"/>
      <c r="C2" s="130"/>
      <c r="D2" s="130"/>
      <c r="E2" s="130"/>
      <c r="F2" s="130"/>
      <c r="G2" s="130"/>
      <c r="H2" s="130"/>
      <c r="I2" s="130"/>
    </row>
    <row r="3" spans="1:9" ht="27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9" ht="16.5" customHeight="1" x14ac:dyDescent="0.25">
      <c r="A4" s="3" t="s">
        <v>27</v>
      </c>
      <c r="B4" s="4" t="s">
        <v>28</v>
      </c>
      <c r="C4" s="5" t="s">
        <v>29</v>
      </c>
      <c r="D4" s="4" t="s">
        <v>30</v>
      </c>
      <c r="E4" s="4" t="s">
        <v>30</v>
      </c>
      <c r="F4" s="4" t="s">
        <v>30</v>
      </c>
      <c r="G4" s="6" t="s">
        <v>31</v>
      </c>
      <c r="H4" s="7" t="s">
        <v>32</v>
      </c>
      <c r="I4" s="8" t="s">
        <v>33</v>
      </c>
    </row>
    <row r="5" spans="1:9" ht="16.5" customHeight="1" x14ac:dyDescent="0.25">
      <c r="A5" s="3" t="s">
        <v>27</v>
      </c>
      <c r="B5" s="9" t="s">
        <v>34</v>
      </c>
      <c r="C5" s="10" t="s">
        <v>35</v>
      </c>
      <c r="D5" s="9" t="s">
        <v>30</v>
      </c>
      <c r="E5" s="9" t="s">
        <v>30</v>
      </c>
      <c r="F5" s="9" t="s">
        <v>30</v>
      </c>
      <c r="G5" s="11" t="s">
        <v>31</v>
      </c>
      <c r="H5" s="12" t="s">
        <v>32</v>
      </c>
      <c r="I5" s="13" t="s">
        <v>36</v>
      </c>
    </row>
    <row r="6" spans="1:9" ht="16.5" customHeight="1" x14ac:dyDescent="0.25">
      <c r="A6" s="3" t="s">
        <v>27</v>
      </c>
      <c r="B6" s="4" t="s">
        <v>37</v>
      </c>
      <c r="C6" s="5" t="s">
        <v>38</v>
      </c>
      <c r="D6" s="4" t="s">
        <v>30</v>
      </c>
      <c r="E6" s="4" t="s">
        <v>30</v>
      </c>
      <c r="F6" s="4" t="s">
        <v>30</v>
      </c>
      <c r="G6" s="6" t="s">
        <v>31</v>
      </c>
      <c r="H6" s="7" t="s">
        <v>32</v>
      </c>
      <c r="I6" s="8" t="s">
        <v>36</v>
      </c>
    </row>
    <row r="7" spans="1:9" ht="16.5" customHeight="1" x14ac:dyDescent="0.25">
      <c r="A7" s="3" t="s">
        <v>27</v>
      </c>
      <c r="B7" s="9" t="s">
        <v>39</v>
      </c>
      <c r="C7" s="10" t="s">
        <v>40</v>
      </c>
      <c r="D7" s="9" t="s">
        <v>30</v>
      </c>
      <c r="E7" s="11" t="s">
        <v>31</v>
      </c>
      <c r="F7" s="11" t="s">
        <v>31</v>
      </c>
      <c r="G7" s="11" t="s">
        <v>31</v>
      </c>
      <c r="H7" s="12" t="s">
        <v>32</v>
      </c>
      <c r="I7" s="13" t="s">
        <v>36</v>
      </c>
    </row>
    <row r="8" spans="1:9" ht="16.5" customHeight="1" x14ac:dyDescent="0.25">
      <c r="A8" s="3" t="s">
        <v>27</v>
      </c>
      <c r="B8" s="4" t="s">
        <v>41</v>
      </c>
      <c r="C8" s="5" t="s">
        <v>42</v>
      </c>
      <c r="D8" s="4" t="s">
        <v>30</v>
      </c>
      <c r="E8" s="6" t="s">
        <v>31</v>
      </c>
      <c r="F8" s="6" t="s">
        <v>31</v>
      </c>
      <c r="G8" s="6" t="s">
        <v>31</v>
      </c>
      <c r="H8" s="14" t="s">
        <v>43</v>
      </c>
      <c r="I8" s="8" t="s">
        <v>44</v>
      </c>
    </row>
    <row r="9" spans="1:9" ht="16.5" customHeight="1" x14ac:dyDescent="0.25">
      <c r="A9" s="3" t="s">
        <v>27</v>
      </c>
      <c r="B9" s="9" t="s">
        <v>45</v>
      </c>
      <c r="C9" s="10" t="s">
        <v>46</v>
      </c>
      <c r="D9" s="9" t="s">
        <v>30</v>
      </c>
      <c r="E9" s="11" t="s">
        <v>31</v>
      </c>
      <c r="F9" s="11" t="s">
        <v>31</v>
      </c>
      <c r="G9" s="11" t="s">
        <v>31</v>
      </c>
      <c r="H9" s="12" t="s">
        <v>32</v>
      </c>
      <c r="I9" s="13" t="s">
        <v>47</v>
      </c>
    </row>
    <row r="10" spans="1:9" ht="16.5" customHeight="1" x14ac:dyDescent="0.25">
      <c r="A10" s="3" t="s">
        <v>27</v>
      </c>
      <c r="B10" s="4" t="s">
        <v>48</v>
      </c>
      <c r="C10" s="5" t="s">
        <v>49</v>
      </c>
      <c r="D10" s="4" t="s">
        <v>30</v>
      </c>
      <c r="E10" s="4" t="s">
        <v>30</v>
      </c>
      <c r="F10" s="4" t="s">
        <v>30</v>
      </c>
      <c r="G10" s="6" t="s">
        <v>31</v>
      </c>
      <c r="H10" s="14" t="s">
        <v>43</v>
      </c>
      <c r="I10" s="8" t="s">
        <v>36</v>
      </c>
    </row>
    <row r="11" spans="1:9" ht="16.5" customHeight="1" x14ac:dyDescent="0.25">
      <c r="A11" s="15" t="s">
        <v>50</v>
      </c>
      <c r="B11" s="9" t="s">
        <v>51</v>
      </c>
      <c r="C11" s="10" t="s">
        <v>52</v>
      </c>
      <c r="D11" s="9" t="s">
        <v>30</v>
      </c>
      <c r="E11" s="9" t="s">
        <v>30</v>
      </c>
      <c r="F11" s="11" t="s">
        <v>31</v>
      </c>
      <c r="G11" s="11" t="s">
        <v>31</v>
      </c>
      <c r="H11" s="12" t="s">
        <v>32</v>
      </c>
      <c r="I11" s="13" t="s">
        <v>53</v>
      </c>
    </row>
    <row r="12" spans="1:9" ht="16.5" customHeight="1" x14ac:dyDescent="0.25">
      <c r="A12" s="15" t="s">
        <v>50</v>
      </c>
      <c r="B12" s="16" t="s">
        <v>54</v>
      </c>
      <c r="C12" s="17" t="s">
        <v>55</v>
      </c>
      <c r="D12" s="16" t="s">
        <v>30</v>
      </c>
      <c r="E12" s="16" t="s">
        <v>30</v>
      </c>
      <c r="F12" s="18" t="s">
        <v>31</v>
      </c>
      <c r="G12" s="18" t="s">
        <v>31</v>
      </c>
      <c r="H12" s="19" t="s">
        <v>32</v>
      </c>
      <c r="I12" s="20" t="s">
        <v>56</v>
      </c>
    </row>
    <row r="13" spans="1:9" ht="16.5" customHeight="1" x14ac:dyDescent="0.25">
      <c r="A13" s="15" t="s">
        <v>50</v>
      </c>
      <c r="B13" s="9" t="s">
        <v>57</v>
      </c>
      <c r="C13" s="10" t="s">
        <v>58</v>
      </c>
      <c r="D13" s="9" t="s">
        <v>30</v>
      </c>
      <c r="E13" s="9" t="s">
        <v>30</v>
      </c>
      <c r="F13" s="11" t="s">
        <v>31</v>
      </c>
      <c r="G13" s="11" t="s">
        <v>31</v>
      </c>
      <c r="H13" s="12" t="s">
        <v>32</v>
      </c>
      <c r="I13" s="13" t="s">
        <v>56</v>
      </c>
    </row>
    <row r="14" spans="1:9" ht="16.5" customHeight="1" x14ac:dyDescent="0.25">
      <c r="A14" s="15" t="s">
        <v>50</v>
      </c>
      <c r="B14" s="16" t="s">
        <v>59</v>
      </c>
      <c r="C14" s="17" t="s">
        <v>60</v>
      </c>
      <c r="D14" s="16" t="s">
        <v>30</v>
      </c>
      <c r="E14" s="18" t="s">
        <v>31</v>
      </c>
      <c r="F14" s="18" t="s">
        <v>31</v>
      </c>
      <c r="G14" s="18" t="s">
        <v>31</v>
      </c>
      <c r="H14" s="21" t="s">
        <v>43</v>
      </c>
      <c r="I14" s="20" t="s">
        <v>44</v>
      </c>
    </row>
    <row r="15" spans="1:9" ht="16.5" customHeight="1" x14ac:dyDescent="0.25">
      <c r="A15" s="15" t="s">
        <v>50</v>
      </c>
      <c r="B15" s="9" t="s">
        <v>61</v>
      </c>
      <c r="C15" s="10" t="s">
        <v>62</v>
      </c>
      <c r="D15" s="9" t="s">
        <v>30</v>
      </c>
      <c r="E15" s="11" t="s">
        <v>31</v>
      </c>
      <c r="F15" s="11" t="s">
        <v>31</v>
      </c>
      <c r="G15" s="11" t="s">
        <v>31</v>
      </c>
      <c r="H15" s="22" t="s">
        <v>63</v>
      </c>
      <c r="I15" s="13" t="s">
        <v>44</v>
      </c>
    </row>
    <row r="16" spans="1:9" ht="24.75" customHeight="1" x14ac:dyDescent="0.25">
      <c r="A16" s="15" t="s">
        <v>50</v>
      </c>
      <c r="B16" s="16" t="s">
        <v>64</v>
      </c>
      <c r="C16" s="17" t="s">
        <v>65</v>
      </c>
      <c r="D16" s="16" t="s">
        <v>30</v>
      </c>
      <c r="E16" s="18" t="s">
        <v>31</v>
      </c>
      <c r="F16" s="18" t="s">
        <v>31</v>
      </c>
      <c r="G16" s="18" t="s">
        <v>31</v>
      </c>
      <c r="H16" s="19" t="s">
        <v>32</v>
      </c>
      <c r="I16" s="20" t="s">
        <v>56</v>
      </c>
    </row>
    <row r="17" spans="1:9" ht="16.5" customHeight="1" x14ac:dyDescent="0.25">
      <c r="A17" s="23" t="s">
        <v>66</v>
      </c>
      <c r="B17" s="9" t="s">
        <v>67</v>
      </c>
      <c r="C17" s="10" t="s">
        <v>68</v>
      </c>
      <c r="D17" s="9" t="s">
        <v>30</v>
      </c>
      <c r="E17" s="9" t="s">
        <v>30</v>
      </c>
      <c r="F17" s="11" t="s">
        <v>31</v>
      </c>
      <c r="G17" s="11" t="s">
        <v>31</v>
      </c>
      <c r="H17" s="12" t="s">
        <v>32</v>
      </c>
      <c r="I17" s="13" t="s">
        <v>69</v>
      </c>
    </row>
    <row r="18" spans="1:9" ht="16.5" customHeight="1" x14ac:dyDescent="0.25">
      <c r="A18" s="23" t="s">
        <v>66</v>
      </c>
      <c r="B18" s="24" t="s">
        <v>70</v>
      </c>
      <c r="C18" s="25" t="s">
        <v>71</v>
      </c>
      <c r="D18" s="24" t="s">
        <v>30</v>
      </c>
      <c r="E18" s="24" t="s">
        <v>30</v>
      </c>
      <c r="F18" s="26" t="s">
        <v>31</v>
      </c>
      <c r="G18" s="26" t="s">
        <v>31</v>
      </c>
      <c r="H18" s="27" t="s">
        <v>32</v>
      </c>
      <c r="I18" s="28" t="s">
        <v>56</v>
      </c>
    </row>
    <row r="19" spans="1:9" ht="16.5" customHeight="1" x14ac:dyDescent="0.25">
      <c r="A19" s="23" t="s">
        <v>66</v>
      </c>
      <c r="B19" s="9" t="s">
        <v>72</v>
      </c>
      <c r="C19" s="10" t="s">
        <v>73</v>
      </c>
      <c r="D19" s="9" t="s">
        <v>30</v>
      </c>
      <c r="E19" s="9" t="s">
        <v>30</v>
      </c>
      <c r="F19" s="11" t="s">
        <v>31</v>
      </c>
      <c r="G19" s="11" t="s">
        <v>31</v>
      </c>
      <c r="H19" s="29" t="s">
        <v>43</v>
      </c>
      <c r="I19" s="13" t="s">
        <v>56</v>
      </c>
    </row>
    <row r="20" spans="1:9" ht="16.5" customHeight="1" x14ac:dyDescent="0.25">
      <c r="A20" s="23" t="s">
        <v>66</v>
      </c>
      <c r="B20" s="24" t="s">
        <v>74</v>
      </c>
      <c r="C20" s="25" t="s">
        <v>75</v>
      </c>
      <c r="D20" s="24" t="s">
        <v>30</v>
      </c>
      <c r="E20" s="26" t="s">
        <v>31</v>
      </c>
      <c r="F20" s="26" t="s">
        <v>31</v>
      </c>
      <c r="G20" s="26" t="s">
        <v>31</v>
      </c>
      <c r="H20" s="30" t="s">
        <v>43</v>
      </c>
      <c r="I20" s="28" t="s">
        <v>44</v>
      </c>
    </row>
    <row r="21" spans="1:9" ht="16.5" customHeight="1" x14ac:dyDescent="0.25">
      <c r="A21" s="23" t="s">
        <v>66</v>
      </c>
      <c r="B21" s="9" t="s">
        <v>76</v>
      </c>
      <c r="C21" s="10" t="s">
        <v>77</v>
      </c>
      <c r="D21" s="9" t="s">
        <v>30</v>
      </c>
      <c r="E21" s="11" t="s">
        <v>31</v>
      </c>
      <c r="F21" s="11" t="s">
        <v>31</v>
      </c>
      <c r="G21" s="11" t="s">
        <v>31</v>
      </c>
      <c r="H21" s="12" t="s">
        <v>32</v>
      </c>
      <c r="I21" s="13" t="s">
        <v>78</v>
      </c>
    </row>
    <row r="22" spans="1:9" ht="26.25" customHeight="1" x14ac:dyDescent="0.25">
      <c r="A22" s="31" t="s">
        <v>79</v>
      </c>
      <c r="B22" s="32" t="s">
        <v>80</v>
      </c>
      <c r="C22" s="33" t="s">
        <v>81</v>
      </c>
      <c r="D22" s="32" t="s">
        <v>30</v>
      </c>
      <c r="E22" s="34" t="s">
        <v>31</v>
      </c>
      <c r="F22" s="34" t="s">
        <v>31</v>
      </c>
      <c r="G22" s="32" t="s">
        <v>30</v>
      </c>
      <c r="H22" s="35" t="s">
        <v>32</v>
      </c>
      <c r="I22" s="36" t="s">
        <v>82</v>
      </c>
    </row>
    <row r="23" spans="1:9" ht="27" customHeight="1" x14ac:dyDescent="0.25">
      <c r="A23" s="31" t="s">
        <v>79</v>
      </c>
      <c r="B23" s="9" t="s">
        <v>83</v>
      </c>
      <c r="C23" s="10" t="s">
        <v>84</v>
      </c>
      <c r="D23" s="9" t="s">
        <v>30</v>
      </c>
      <c r="E23" s="11" t="s">
        <v>31</v>
      </c>
      <c r="F23" s="11" t="s">
        <v>31</v>
      </c>
      <c r="G23" s="9" t="s">
        <v>30</v>
      </c>
      <c r="H23" s="12" t="s">
        <v>32</v>
      </c>
      <c r="I23" s="13" t="s">
        <v>85</v>
      </c>
    </row>
    <row r="24" spans="1:9" ht="26.25" customHeight="1" x14ac:dyDescent="0.25">
      <c r="A24" s="31" t="s">
        <v>79</v>
      </c>
      <c r="B24" s="32" t="s">
        <v>86</v>
      </c>
      <c r="C24" s="33" t="s">
        <v>87</v>
      </c>
      <c r="D24" s="32" t="s">
        <v>30</v>
      </c>
      <c r="E24" s="34" t="s">
        <v>31</v>
      </c>
      <c r="F24" s="34" t="s">
        <v>31</v>
      </c>
      <c r="G24" s="32" t="s">
        <v>30</v>
      </c>
      <c r="H24" s="35" t="s">
        <v>32</v>
      </c>
      <c r="I24" s="36" t="s">
        <v>82</v>
      </c>
    </row>
    <row r="25" spans="1:9" ht="22.5" customHeight="1" x14ac:dyDescent="0.25">
      <c r="A25" s="31" t="s">
        <v>79</v>
      </c>
      <c r="B25" s="9" t="s">
        <v>88</v>
      </c>
      <c r="C25" s="10" t="s">
        <v>89</v>
      </c>
      <c r="D25" s="9" t="s">
        <v>30</v>
      </c>
      <c r="E25" s="11" t="s">
        <v>31</v>
      </c>
      <c r="F25" s="11" t="s">
        <v>31</v>
      </c>
      <c r="G25" s="11" t="s">
        <v>31</v>
      </c>
      <c r="H25" s="12" t="s">
        <v>32</v>
      </c>
      <c r="I25" s="13" t="s">
        <v>78</v>
      </c>
    </row>
    <row r="26" spans="1:9" ht="22.5" customHeight="1" x14ac:dyDescent="0.25">
      <c r="A26" s="31" t="s">
        <v>79</v>
      </c>
      <c r="B26" s="32" t="s">
        <v>90</v>
      </c>
      <c r="C26" s="33" t="s">
        <v>91</v>
      </c>
      <c r="D26" s="32" t="s">
        <v>30</v>
      </c>
      <c r="E26" s="34" t="s">
        <v>31</v>
      </c>
      <c r="F26" s="34" t="s">
        <v>31</v>
      </c>
      <c r="G26" s="34" t="s">
        <v>31</v>
      </c>
      <c r="H26" s="35" t="s">
        <v>32</v>
      </c>
      <c r="I26" s="36" t="s">
        <v>69</v>
      </c>
    </row>
    <row r="27" spans="1:9" ht="16.5" customHeight="1" x14ac:dyDescent="0.25">
      <c r="A27" s="31" t="s">
        <v>79</v>
      </c>
      <c r="B27" s="9" t="s">
        <v>92</v>
      </c>
      <c r="C27" s="10" t="s">
        <v>93</v>
      </c>
      <c r="D27" s="9" t="s">
        <v>30</v>
      </c>
      <c r="E27" s="11" t="s">
        <v>31</v>
      </c>
      <c r="F27" s="9" t="s">
        <v>30</v>
      </c>
      <c r="G27" s="11" t="s">
        <v>31</v>
      </c>
      <c r="H27" s="12" t="s">
        <v>32</v>
      </c>
      <c r="I27" s="13" t="s">
        <v>69</v>
      </c>
    </row>
    <row r="28" spans="1:9" ht="24.75" customHeight="1" x14ac:dyDescent="0.25">
      <c r="A28" s="31" t="s">
        <v>79</v>
      </c>
      <c r="B28" s="32" t="s">
        <v>94</v>
      </c>
      <c r="C28" s="33" t="s">
        <v>95</v>
      </c>
      <c r="D28" s="32" t="s">
        <v>30</v>
      </c>
      <c r="E28" s="34" t="s">
        <v>31</v>
      </c>
      <c r="F28" s="34" t="s">
        <v>31</v>
      </c>
      <c r="G28" s="34" t="s">
        <v>31</v>
      </c>
      <c r="H28" s="37" t="s">
        <v>43</v>
      </c>
      <c r="I28" s="36" t="s">
        <v>82</v>
      </c>
    </row>
    <row r="29" spans="1:9" ht="16.5" customHeight="1" x14ac:dyDescent="0.25">
      <c r="A29" s="38" t="s">
        <v>96</v>
      </c>
      <c r="B29" s="9" t="s">
        <v>97</v>
      </c>
      <c r="C29" s="10" t="s">
        <v>98</v>
      </c>
      <c r="D29" s="9" t="s">
        <v>30</v>
      </c>
      <c r="E29" s="9" t="s">
        <v>30</v>
      </c>
      <c r="F29" s="11" t="s">
        <v>31</v>
      </c>
      <c r="G29" s="11" t="s">
        <v>31</v>
      </c>
      <c r="H29" s="29" t="s">
        <v>43</v>
      </c>
      <c r="I29" s="13" t="s">
        <v>56</v>
      </c>
    </row>
    <row r="30" spans="1:9" ht="16.5" customHeight="1" x14ac:dyDescent="0.25">
      <c r="A30" s="38" t="s">
        <v>96</v>
      </c>
      <c r="B30" s="39" t="s">
        <v>99</v>
      </c>
      <c r="C30" s="40" t="s">
        <v>100</v>
      </c>
      <c r="D30" s="39" t="s">
        <v>30</v>
      </c>
      <c r="E30" s="41" t="s">
        <v>31</v>
      </c>
      <c r="F30" s="41" t="s">
        <v>31</v>
      </c>
      <c r="G30" s="41" t="s">
        <v>31</v>
      </c>
      <c r="H30" s="42" t="s">
        <v>43</v>
      </c>
      <c r="I30" s="43" t="s">
        <v>56</v>
      </c>
    </row>
    <row r="31" spans="1:9" ht="16.5" customHeight="1" x14ac:dyDescent="0.25">
      <c r="A31" s="38" t="s">
        <v>96</v>
      </c>
      <c r="B31" s="9" t="s">
        <v>101</v>
      </c>
      <c r="C31" s="10" t="s">
        <v>102</v>
      </c>
      <c r="D31" s="9" t="s">
        <v>30</v>
      </c>
      <c r="E31" s="9" t="s">
        <v>30</v>
      </c>
      <c r="F31" s="11" t="s">
        <v>31</v>
      </c>
      <c r="G31" s="11" t="s">
        <v>31</v>
      </c>
      <c r="H31" s="22" t="s">
        <v>63</v>
      </c>
      <c r="I31" s="13" t="s">
        <v>56</v>
      </c>
    </row>
    <row r="32" spans="1:9" ht="16.5" customHeight="1" x14ac:dyDescent="0.25">
      <c r="A32" s="38" t="s">
        <v>96</v>
      </c>
      <c r="B32" s="39" t="s">
        <v>103</v>
      </c>
      <c r="C32" s="40" t="s">
        <v>104</v>
      </c>
      <c r="D32" s="39" t="s">
        <v>30</v>
      </c>
      <c r="E32" s="41" t="s">
        <v>31</v>
      </c>
      <c r="F32" s="41" t="s">
        <v>31</v>
      </c>
      <c r="G32" s="41" t="s">
        <v>31</v>
      </c>
      <c r="H32" s="44" t="s">
        <v>63</v>
      </c>
      <c r="I32" s="43" t="s">
        <v>56</v>
      </c>
    </row>
    <row r="33" spans="1:9" ht="16.5" customHeight="1" x14ac:dyDescent="0.25">
      <c r="A33" s="38" t="s">
        <v>96</v>
      </c>
      <c r="B33" s="9" t="s">
        <v>105</v>
      </c>
      <c r="C33" s="10" t="s">
        <v>106</v>
      </c>
      <c r="D33" s="9" t="s">
        <v>30</v>
      </c>
      <c r="E33" s="11" t="s">
        <v>31</v>
      </c>
      <c r="F33" s="11" t="s">
        <v>31</v>
      </c>
      <c r="G33" s="11" t="s">
        <v>31</v>
      </c>
      <c r="H33" s="29" t="s">
        <v>43</v>
      </c>
      <c r="I33" s="13" t="s">
        <v>56</v>
      </c>
    </row>
    <row r="34" spans="1:9" ht="18" customHeight="1" x14ac:dyDescent="0.25">
      <c r="A34" s="123" t="s">
        <v>107</v>
      </c>
      <c r="B34" s="123"/>
      <c r="C34" s="45"/>
      <c r="D34" s="1">
        <f>COUNTIF(D4:D33,"✓")</f>
        <v>30</v>
      </c>
      <c r="E34" s="1">
        <f>COUNTIF(E4:E33,"✓")</f>
        <v>12</v>
      </c>
      <c r="F34" s="1">
        <f>COUNTIF(F4:F33,"✓")</f>
        <v>5</v>
      </c>
      <c r="G34" s="1">
        <f>COUNTIF(G4:G33,"✓")</f>
        <v>3</v>
      </c>
      <c r="H34" s="45"/>
      <c r="I34" s="45"/>
    </row>
  </sheetData>
  <mergeCells count="2">
    <mergeCell ref="A1:I1"/>
    <mergeCell ref="A34:B3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"/>
  <sheetViews>
    <sheetView showGridLines="0" zoomScaleNormal="100" workbookViewId="0">
      <pane ySplit="2" topLeftCell="A86" activePane="bottomLeft" state="frozen"/>
      <selection pane="bottomLeft" activeCell="B19" sqref="B19"/>
    </sheetView>
  </sheetViews>
  <sheetFormatPr baseColWidth="10" defaultColWidth="8.7109375" defaultRowHeight="15" x14ac:dyDescent="0.25"/>
  <cols>
    <col min="1" max="1" width="13" customWidth="1"/>
    <col min="2" max="2" width="10" customWidth="1"/>
    <col min="3" max="3" width="11" customWidth="1"/>
    <col min="4" max="4" width="40" customWidth="1"/>
    <col min="5" max="5" width="8" customWidth="1"/>
    <col min="6" max="6" width="10" customWidth="1"/>
    <col min="7" max="7" width="13" customWidth="1"/>
    <col min="8" max="8" width="9" customWidth="1"/>
    <col min="9" max="9" width="11" customWidth="1"/>
    <col min="10" max="10" width="22" customWidth="1"/>
  </cols>
  <sheetData>
    <row r="1" spans="1:10" ht="25.5" customHeight="1" x14ac:dyDescent="0.25">
      <c r="A1" s="122" t="s">
        <v>108</v>
      </c>
      <c r="B1" s="122"/>
      <c r="C1" s="122"/>
      <c r="D1" s="122"/>
      <c r="E1" s="122"/>
      <c r="F1" s="122"/>
      <c r="G1" s="122"/>
      <c r="H1" s="122"/>
      <c r="I1" s="122"/>
      <c r="J1" s="122"/>
    </row>
    <row r="2" spans="1:10" ht="30" customHeight="1" x14ac:dyDescent="0.25">
      <c r="A2" s="77" t="s">
        <v>18</v>
      </c>
      <c r="B2" s="77" t="s">
        <v>19</v>
      </c>
      <c r="C2" s="77" t="s">
        <v>109</v>
      </c>
      <c r="D2" s="77" t="s">
        <v>110</v>
      </c>
      <c r="E2" s="77" t="s">
        <v>21</v>
      </c>
      <c r="F2" s="77" t="s">
        <v>22</v>
      </c>
      <c r="G2" s="77" t="s">
        <v>23</v>
      </c>
      <c r="H2" s="77" t="s">
        <v>24</v>
      </c>
      <c r="I2" s="77" t="s">
        <v>25</v>
      </c>
      <c r="J2" s="77" t="s">
        <v>26</v>
      </c>
    </row>
    <row r="3" spans="1:10" ht="19.5" customHeight="1" x14ac:dyDescent="0.25">
      <c r="A3" s="125" t="s">
        <v>111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0" ht="18" customHeight="1" x14ac:dyDescent="0.25">
      <c r="A4" s="78" t="s">
        <v>27</v>
      </c>
      <c r="B4" s="79" t="s">
        <v>28</v>
      </c>
      <c r="C4" s="78" t="s">
        <v>112</v>
      </c>
      <c r="D4" s="80" t="s">
        <v>29</v>
      </c>
      <c r="E4" s="79" t="s">
        <v>30</v>
      </c>
      <c r="F4" s="79" t="s">
        <v>30</v>
      </c>
      <c r="G4" s="79" t="s">
        <v>30</v>
      </c>
      <c r="H4" s="78" t="s">
        <v>31</v>
      </c>
      <c r="I4" s="81" t="s">
        <v>32</v>
      </c>
      <c r="J4" s="82" t="s">
        <v>33</v>
      </c>
    </row>
    <row r="5" spans="1:10" ht="15" customHeight="1" x14ac:dyDescent="0.25">
      <c r="A5" s="83" t="s">
        <v>27</v>
      </c>
      <c r="B5" s="84" t="s">
        <v>113</v>
      </c>
      <c r="C5" s="85" t="s">
        <v>114</v>
      </c>
      <c r="D5" s="86" t="s">
        <v>115</v>
      </c>
      <c r="E5" s="87"/>
      <c r="F5" s="87"/>
      <c r="G5" s="87"/>
      <c r="H5" s="87"/>
      <c r="I5" s="87"/>
      <c r="J5" s="87"/>
    </row>
    <row r="6" spans="1:10" ht="15" customHeight="1" x14ac:dyDescent="0.25">
      <c r="A6" s="83" t="s">
        <v>27</v>
      </c>
      <c r="B6" s="88" t="s">
        <v>116</v>
      </c>
      <c r="C6" s="89" t="s">
        <v>117</v>
      </c>
      <c r="D6" s="90" t="s">
        <v>118</v>
      </c>
      <c r="E6" s="87"/>
      <c r="F6" s="87"/>
      <c r="G6" s="87"/>
      <c r="H6" s="87"/>
      <c r="I6" s="87"/>
      <c r="J6" s="87"/>
    </row>
    <row r="7" spans="1:10" ht="15" customHeight="1" x14ac:dyDescent="0.25">
      <c r="A7" s="83" t="s">
        <v>27</v>
      </c>
      <c r="B7" s="88" t="s">
        <v>119</v>
      </c>
      <c r="C7" s="89" t="s">
        <v>117</v>
      </c>
      <c r="D7" s="90" t="s">
        <v>120</v>
      </c>
      <c r="E7" s="87"/>
      <c r="F7" s="87"/>
      <c r="G7" s="87"/>
      <c r="H7" s="87"/>
      <c r="I7" s="87"/>
      <c r="J7" s="87"/>
    </row>
    <row r="8" spans="1:10" ht="18" customHeight="1" x14ac:dyDescent="0.25">
      <c r="A8" s="78" t="s">
        <v>27</v>
      </c>
      <c r="B8" s="79" t="s">
        <v>34</v>
      </c>
      <c r="C8" s="78" t="s">
        <v>112</v>
      </c>
      <c r="D8" s="80" t="s">
        <v>35</v>
      </c>
      <c r="E8" s="79" t="s">
        <v>30</v>
      </c>
      <c r="F8" s="79" t="s">
        <v>30</v>
      </c>
      <c r="G8" s="79" t="s">
        <v>30</v>
      </c>
      <c r="H8" s="78" t="s">
        <v>31</v>
      </c>
      <c r="I8" s="81" t="s">
        <v>32</v>
      </c>
      <c r="J8" s="82" t="s">
        <v>36</v>
      </c>
    </row>
    <row r="9" spans="1:10" ht="15" customHeight="1" x14ac:dyDescent="0.25">
      <c r="A9" s="83" t="s">
        <v>27</v>
      </c>
      <c r="B9" s="84" t="s">
        <v>121</v>
      </c>
      <c r="C9" s="85" t="s">
        <v>114</v>
      </c>
      <c r="D9" s="86" t="s">
        <v>122</v>
      </c>
      <c r="E9" s="87"/>
      <c r="F9" s="87"/>
      <c r="G9" s="87"/>
      <c r="H9" s="87"/>
      <c r="I9" s="87"/>
      <c r="J9" s="87"/>
    </row>
    <row r="10" spans="1:10" ht="18" customHeight="1" x14ac:dyDescent="0.25">
      <c r="A10" s="78" t="s">
        <v>27</v>
      </c>
      <c r="B10" s="79" t="s">
        <v>37</v>
      </c>
      <c r="C10" s="78" t="s">
        <v>112</v>
      </c>
      <c r="D10" s="80" t="s">
        <v>38</v>
      </c>
      <c r="E10" s="79" t="s">
        <v>30</v>
      </c>
      <c r="F10" s="79" t="s">
        <v>30</v>
      </c>
      <c r="G10" s="79" t="s">
        <v>30</v>
      </c>
      <c r="H10" s="78" t="s">
        <v>31</v>
      </c>
      <c r="I10" s="81" t="s">
        <v>32</v>
      </c>
      <c r="J10" s="82" t="s">
        <v>36</v>
      </c>
    </row>
    <row r="11" spans="1:10" ht="15" customHeight="1" x14ac:dyDescent="0.25">
      <c r="A11" s="83" t="s">
        <v>27</v>
      </c>
      <c r="B11" s="84" t="s">
        <v>123</v>
      </c>
      <c r="C11" s="85" t="s">
        <v>114</v>
      </c>
      <c r="D11" s="86" t="s">
        <v>124</v>
      </c>
      <c r="E11" s="87"/>
      <c r="F11" s="87"/>
      <c r="G11" s="87"/>
      <c r="H11" s="87"/>
      <c r="I11" s="87"/>
      <c r="J11" s="87"/>
    </row>
    <row r="12" spans="1:10" ht="15" customHeight="1" x14ac:dyDescent="0.25">
      <c r="A12" s="83" t="s">
        <v>27</v>
      </c>
      <c r="B12" s="88" t="s">
        <v>125</v>
      </c>
      <c r="C12" s="89" t="s">
        <v>117</v>
      </c>
      <c r="D12" s="90" t="s">
        <v>126</v>
      </c>
      <c r="E12" s="87"/>
      <c r="F12" s="87"/>
      <c r="G12" s="87"/>
      <c r="H12" s="87"/>
      <c r="I12" s="87"/>
      <c r="J12" s="87"/>
    </row>
    <row r="13" spans="1:10" ht="18" customHeight="1" x14ac:dyDescent="0.25">
      <c r="A13" s="78" t="s">
        <v>27</v>
      </c>
      <c r="B13" s="79" t="s">
        <v>39</v>
      </c>
      <c r="C13" s="78" t="s">
        <v>112</v>
      </c>
      <c r="D13" s="80" t="s">
        <v>40</v>
      </c>
      <c r="E13" s="79" t="s">
        <v>30</v>
      </c>
      <c r="F13" s="78" t="s">
        <v>31</v>
      </c>
      <c r="G13" s="78" t="s">
        <v>31</v>
      </c>
      <c r="H13" s="78" t="s">
        <v>31</v>
      </c>
      <c r="I13" s="81" t="s">
        <v>32</v>
      </c>
      <c r="J13" s="82" t="s">
        <v>36</v>
      </c>
    </row>
    <row r="14" spans="1:10" ht="15" customHeight="1" x14ac:dyDescent="0.25">
      <c r="A14" s="83" t="s">
        <v>27</v>
      </c>
      <c r="B14" s="84" t="s">
        <v>127</v>
      </c>
      <c r="C14" s="85" t="s">
        <v>114</v>
      </c>
      <c r="D14" s="86" t="s">
        <v>128</v>
      </c>
      <c r="E14" s="87"/>
      <c r="F14" s="87"/>
      <c r="G14" s="87"/>
      <c r="H14" s="87"/>
      <c r="I14" s="87"/>
      <c r="J14" s="87"/>
    </row>
    <row r="15" spans="1:10" ht="15" customHeight="1" x14ac:dyDescent="0.25">
      <c r="A15" s="83" t="s">
        <v>27</v>
      </c>
      <c r="B15" s="84" t="s">
        <v>129</v>
      </c>
      <c r="C15" s="85" t="s">
        <v>114</v>
      </c>
      <c r="D15" s="86" t="s">
        <v>130</v>
      </c>
      <c r="E15" s="87"/>
      <c r="F15" s="87"/>
      <c r="G15" s="87"/>
      <c r="H15" s="87"/>
      <c r="I15" s="87"/>
      <c r="J15" s="87"/>
    </row>
    <row r="16" spans="1:10" ht="18" customHeight="1" x14ac:dyDescent="0.25">
      <c r="A16" s="78" t="s">
        <v>27</v>
      </c>
      <c r="B16" s="79" t="s">
        <v>41</v>
      </c>
      <c r="C16" s="78" t="s">
        <v>112</v>
      </c>
      <c r="D16" s="80" t="s">
        <v>42</v>
      </c>
      <c r="E16" s="79" t="s">
        <v>30</v>
      </c>
      <c r="F16" s="78" t="s">
        <v>31</v>
      </c>
      <c r="G16" s="78" t="s">
        <v>31</v>
      </c>
      <c r="H16" s="78" t="s">
        <v>31</v>
      </c>
      <c r="I16" s="91" t="s">
        <v>43</v>
      </c>
      <c r="J16" s="82" t="s">
        <v>44</v>
      </c>
    </row>
    <row r="17" spans="1:10" ht="15" customHeight="1" x14ac:dyDescent="0.25">
      <c r="A17" s="83" t="s">
        <v>27</v>
      </c>
      <c r="B17" s="84" t="s">
        <v>131</v>
      </c>
      <c r="C17" s="85" t="s">
        <v>114</v>
      </c>
      <c r="D17" s="86" t="s">
        <v>132</v>
      </c>
      <c r="E17" s="87"/>
      <c r="F17" s="87"/>
      <c r="G17" s="87"/>
      <c r="H17" s="87"/>
      <c r="I17" s="87"/>
      <c r="J17" s="87"/>
    </row>
    <row r="18" spans="1:10" ht="18" customHeight="1" x14ac:dyDescent="0.25">
      <c r="A18" s="78" t="s">
        <v>27</v>
      </c>
      <c r="B18" s="79" t="s">
        <v>45</v>
      </c>
      <c r="C18" s="78" t="s">
        <v>112</v>
      </c>
      <c r="D18" s="80" t="s">
        <v>46</v>
      </c>
      <c r="E18" s="79" t="s">
        <v>30</v>
      </c>
      <c r="F18" s="78" t="s">
        <v>31</v>
      </c>
      <c r="G18" s="78" t="s">
        <v>31</v>
      </c>
      <c r="H18" s="78" t="s">
        <v>31</v>
      </c>
      <c r="I18" s="81" t="s">
        <v>32</v>
      </c>
      <c r="J18" s="82" t="s">
        <v>47</v>
      </c>
    </row>
    <row r="19" spans="1:10" ht="15" customHeight="1" x14ac:dyDescent="0.25">
      <c r="A19" s="83" t="s">
        <v>27</v>
      </c>
      <c r="B19" s="88" t="s">
        <v>133</v>
      </c>
      <c r="C19" s="89" t="s">
        <v>117</v>
      </c>
      <c r="D19" s="90" t="s">
        <v>134</v>
      </c>
      <c r="E19" s="87"/>
      <c r="F19" s="87"/>
      <c r="G19" s="87"/>
      <c r="H19" s="87"/>
      <c r="I19" s="87"/>
      <c r="J19" s="87"/>
    </row>
    <row r="20" spans="1:10" ht="18" customHeight="1" x14ac:dyDescent="0.25">
      <c r="A20" s="78" t="s">
        <v>27</v>
      </c>
      <c r="B20" s="79" t="s">
        <v>48</v>
      </c>
      <c r="C20" s="78" t="s">
        <v>112</v>
      </c>
      <c r="D20" s="80" t="s">
        <v>49</v>
      </c>
      <c r="E20" s="79" t="s">
        <v>30</v>
      </c>
      <c r="F20" s="79" t="s">
        <v>30</v>
      </c>
      <c r="G20" s="79" t="s">
        <v>30</v>
      </c>
      <c r="H20" s="78" t="s">
        <v>31</v>
      </c>
      <c r="I20" s="91" t="s">
        <v>43</v>
      </c>
      <c r="J20" s="82" t="s">
        <v>36</v>
      </c>
    </row>
    <row r="21" spans="1:10" ht="15" customHeight="1" x14ac:dyDescent="0.25">
      <c r="A21" s="83" t="s">
        <v>27</v>
      </c>
      <c r="B21" s="84" t="s">
        <v>135</v>
      </c>
      <c r="C21" s="85" t="s">
        <v>114</v>
      </c>
      <c r="D21" s="86" t="s">
        <v>136</v>
      </c>
      <c r="E21" s="87"/>
      <c r="F21" s="87"/>
      <c r="G21" s="87"/>
      <c r="H21" s="87"/>
      <c r="I21" s="87"/>
      <c r="J21" s="87"/>
    </row>
    <row r="22" spans="1:10" ht="15" customHeight="1" x14ac:dyDescent="0.25">
      <c r="A22" s="83" t="s">
        <v>27</v>
      </c>
      <c r="B22" s="84" t="s">
        <v>137</v>
      </c>
      <c r="C22" s="85" t="s">
        <v>114</v>
      </c>
      <c r="D22" s="86" t="s">
        <v>138</v>
      </c>
      <c r="E22" s="87"/>
      <c r="F22" s="87"/>
      <c r="G22" s="87"/>
      <c r="H22" s="87"/>
      <c r="I22" s="87"/>
      <c r="J22" s="87"/>
    </row>
    <row r="23" spans="1:10" ht="19.5" customHeight="1" x14ac:dyDescent="0.25">
      <c r="A23" s="126" t="s">
        <v>139</v>
      </c>
      <c r="B23" s="126"/>
      <c r="C23" s="126"/>
      <c r="D23" s="126"/>
      <c r="E23" s="126"/>
      <c r="F23" s="126"/>
      <c r="G23" s="126"/>
      <c r="H23" s="126"/>
      <c r="I23" s="126"/>
      <c r="J23" s="126"/>
    </row>
    <row r="24" spans="1:10" ht="18" customHeight="1" x14ac:dyDescent="0.25">
      <c r="A24" s="92" t="s">
        <v>50</v>
      </c>
      <c r="B24" s="93" t="s">
        <v>51</v>
      </c>
      <c r="C24" s="92" t="s">
        <v>112</v>
      </c>
      <c r="D24" s="94" t="s">
        <v>52</v>
      </c>
      <c r="E24" s="93" t="s">
        <v>30</v>
      </c>
      <c r="F24" s="93" t="s">
        <v>30</v>
      </c>
      <c r="G24" s="92" t="s">
        <v>31</v>
      </c>
      <c r="H24" s="92" t="s">
        <v>31</v>
      </c>
      <c r="I24" s="95" t="s">
        <v>32</v>
      </c>
      <c r="J24" s="96" t="s">
        <v>53</v>
      </c>
    </row>
    <row r="25" spans="1:10" ht="15" customHeight="1" x14ac:dyDescent="0.25">
      <c r="A25" s="83" t="s">
        <v>50</v>
      </c>
      <c r="B25" s="84" t="s">
        <v>140</v>
      </c>
      <c r="C25" s="85" t="s">
        <v>114</v>
      </c>
      <c r="D25" s="86" t="s">
        <v>141</v>
      </c>
      <c r="E25" s="87"/>
      <c r="F25" s="87"/>
      <c r="G25" s="87"/>
      <c r="H25" s="87"/>
      <c r="I25" s="87"/>
      <c r="J25" s="87"/>
    </row>
    <row r="26" spans="1:10" ht="15" customHeight="1" x14ac:dyDescent="0.25">
      <c r="A26" s="83" t="s">
        <v>50</v>
      </c>
      <c r="B26" s="84" t="s">
        <v>142</v>
      </c>
      <c r="C26" s="85" t="s">
        <v>114</v>
      </c>
      <c r="D26" s="86" t="s">
        <v>143</v>
      </c>
      <c r="E26" s="87"/>
      <c r="F26" s="87"/>
      <c r="G26" s="87"/>
      <c r="H26" s="87"/>
      <c r="I26" s="87"/>
      <c r="J26" s="87"/>
    </row>
    <row r="27" spans="1:10" ht="15" customHeight="1" x14ac:dyDescent="0.25">
      <c r="A27" s="83" t="s">
        <v>50</v>
      </c>
      <c r="B27" s="88" t="s">
        <v>144</v>
      </c>
      <c r="C27" s="89" t="s">
        <v>117</v>
      </c>
      <c r="D27" s="90" t="s">
        <v>145</v>
      </c>
      <c r="E27" s="87"/>
      <c r="F27" s="87"/>
      <c r="G27" s="87"/>
      <c r="H27" s="87"/>
      <c r="I27" s="87"/>
      <c r="J27" s="87"/>
    </row>
    <row r="28" spans="1:10" ht="18" customHeight="1" x14ac:dyDescent="0.25">
      <c r="A28" s="92" t="s">
        <v>50</v>
      </c>
      <c r="B28" s="93" t="s">
        <v>54</v>
      </c>
      <c r="C28" s="92" t="s">
        <v>112</v>
      </c>
      <c r="D28" s="94" t="s">
        <v>55</v>
      </c>
      <c r="E28" s="93" t="s">
        <v>30</v>
      </c>
      <c r="F28" s="93" t="s">
        <v>30</v>
      </c>
      <c r="G28" s="92" t="s">
        <v>31</v>
      </c>
      <c r="H28" s="92" t="s">
        <v>31</v>
      </c>
      <c r="I28" s="95" t="s">
        <v>32</v>
      </c>
      <c r="J28" s="96" t="s">
        <v>56</v>
      </c>
    </row>
    <row r="29" spans="1:10" ht="15" customHeight="1" x14ac:dyDescent="0.25">
      <c r="A29" s="83" t="s">
        <v>50</v>
      </c>
      <c r="B29" s="84" t="s">
        <v>146</v>
      </c>
      <c r="C29" s="85" t="s">
        <v>114</v>
      </c>
      <c r="D29" s="86" t="s">
        <v>147</v>
      </c>
      <c r="E29" s="87"/>
      <c r="F29" s="87"/>
      <c r="G29" s="87"/>
      <c r="H29" s="87"/>
      <c r="I29" s="87"/>
      <c r="J29" s="87"/>
    </row>
    <row r="30" spans="1:10" ht="18" customHeight="1" x14ac:dyDescent="0.25">
      <c r="A30" s="92" t="s">
        <v>50</v>
      </c>
      <c r="B30" s="93" t="s">
        <v>57</v>
      </c>
      <c r="C30" s="92" t="s">
        <v>112</v>
      </c>
      <c r="D30" s="94" t="s">
        <v>58</v>
      </c>
      <c r="E30" s="93" t="s">
        <v>30</v>
      </c>
      <c r="F30" s="93" t="s">
        <v>30</v>
      </c>
      <c r="G30" s="92" t="s">
        <v>31</v>
      </c>
      <c r="H30" s="92" t="s">
        <v>31</v>
      </c>
      <c r="I30" s="95" t="s">
        <v>32</v>
      </c>
      <c r="J30" s="96" t="s">
        <v>56</v>
      </c>
    </row>
    <row r="31" spans="1:10" ht="15" customHeight="1" x14ac:dyDescent="0.25">
      <c r="A31" s="83" t="s">
        <v>50</v>
      </c>
      <c r="B31" s="84" t="s">
        <v>148</v>
      </c>
      <c r="C31" s="85" t="s">
        <v>114</v>
      </c>
      <c r="D31" s="86" t="s">
        <v>147</v>
      </c>
      <c r="E31" s="87"/>
      <c r="F31" s="87"/>
      <c r="G31" s="87"/>
      <c r="H31" s="87"/>
      <c r="I31" s="87"/>
      <c r="J31" s="87"/>
    </row>
    <row r="32" spans="1:10" ht="15" customHeight="1" x14ac:dyDescent="0.25">
      <c r="A32" s="83" t="s">
        <v>50</v>
      </c>
      <c r="B32" s="84" t="s">
        <v>149</v>
      </c>
      <c r="C32" s="85" t="s">
        <v>114</v>
      </c>
      <c r="D32" s="86" t="s">
        <v>150</v>
      </c>
      <c r="E32" s="87"/>
      <c r="F32" s="87"/>
      <c r="G32" s="87"/>
      <c r="H32" s="87"/>
      <c r="I32" s="87"/>
      <c r="J32" s="87"/>
    </row>
    <row r="33" spans="1:10" ht="18" customHeight="1" x14ac:dyDescent="0.25">
      <c r="A33" s="92" t="s">
        <v>50</v>
      </c>
      <c r="B33" s="93" t="s">
        <v>59</v>
      </c>
      <c r="C33" s="92" t="s">
        <v>112</v>
      </c>
      <c r="D33" s="94" t="s">
        <v>60</v>
      </c>
      <c r="E33" s="93" t="s">
        <v>30</v>
      </c>
      <c r="F33" s="92" t="s">
        <v>31</v>
      </c>
      <c r="G33" s="92" t="s">
        <v>31</v>
      </c>
      <c r="H33" s="92" t="s">
        <v>31</v>
      </c>
      <c r="I33" s="97" t="s">
        <v>43</v>
      </c>
      <c r="J33" s="96" t="s">
        <v>44</v>
      </c>
    </row>
    <row r="34" spans="1:10" ht="15" customHeight="1" x14ac:dyDescent="0.25">
      <c r="A34" s="83" t="s">
        <v>50</v>
      </c>
      <c r="B34" s="84" t="s">
        <v>151</v>
      </c>
      <c r="C34" s="85" t="s">
        <v>114</v>
      </c>
      <c r="D34" s="86" t="s">
        <v>152</v>
      </c>
      <c r="E34" s="87"/>
      <c r="F34" s="87"/>
      <c r="G34" s="87"/>
      <c r="H34" s="87"/>
      <c r="I34" s="87"/>
      <c r="J34" s="87"/>
    </row>
    <row r="35" spans="1:10" ht="15" customHeight="1" x14ac:dyDescent="0.25">
      <c r="A35" s="83" t="s">
        <v>50</v>
      </c>
      <c r="B35" s="84" t="s">
        <v>153</v>
      </c>
      <c r="C35" s="85" t="s">
        <v>114</v>
      </c>
      <c r="D35" s="86" t="s">
        <v>132</v>
      </c>
      <c r="E35" s="87"/>
      <c r="F35" s="87"/>
      <c r="G35" s="87"/>
      <c r="H35" s="87"/>
      <c r="I35" s="87"/>
      <c r="J35" s="87"/>
    </row>
    <row r="36" spans="1:10" ht="15" customHeight="1" x14ac:dyDescent="0.25">
      <c r="A36" s="83" t="s">
        <v>50</v>
      </c>
      <c r="B36" s="88" t="s">
        <v>154</v>
      </c>
      <c r="C36" s="89" t="s">
        <v>117</v>
      </c>
      <c r="D36" s="90" t="s">
        <v>155</v>
      </c>
      <c r="E36" s="87"/>
      <c r="F36" s="87"/>
      <c r="G36" s="87"/>
      <c r="H36" s="87"/>
      <c r="I36" s="87"/>
      <c r="J36" s="87"/>
    </row>
    <row r="37" spans="1:10" ht="18" customHeight="1" x14ac:dyDescent="0.25">
      <c r="A37" s="92" t="s">
        <v>50</v>
      </c>
      <c r="B37" s="93" t="s">
        <v>61</v>
      </c>
      <c r="C37" s="92" t="s">
        <v>112</v>
      </c>
      <c r="D37" s="94" t="s">
        <v>62</v>
      </c>
      <c r="E37" s="93" t="s">
        <v>30</v>
      </c>
      <c r="F37" s="92" t="s">
        <v>31</v>
      </c>
      <c r="G37" s="92" t="s">
        <v>31</v>
      </c>
      <c r="H37" s="92" t="s">
        <v>31</v>
      </c>
      <c r="I37" s="98" t="s">
        <v>63</v>
      </c>
      <c r="J37" s="96" t="s">
        <v>44</v>
      </c>
    </row>
    <row r="38" spans="1:10" ht="15" customHeight="1" x14ac:dyDescent="0.25">
      <c r="A38" s="83" t="s">
        <v>50</v>
      </c>
      <c r="B38" s="84" t="s">
        <v>156</v>
      </c>
      <c r="C38" s="85" t="s">
        <v>114</v>
      </c>
      <c r="D38" s="86" t="s">
        <v>157</v>
      </c>
      <c r="E38" s="87"/>
      <c r="F38" s="87"/>
      <c r="G38" s="87"/>
      <c r="H38" s="87"/>
      <c r="I38" s="87"/>
      <c r="J38" s="87"/>
    </row>
    <row r="39" spans="1:10" ht="15" customHeight="1" x14ac:dyDescent="0.25">
      <c r="A39" s="83" t="s">
        <v>50</v>
      </c>
      <c r="B39" s="84" t="s">
        <v>158</v>
      </c>
      <c r="C39" s="85" t="s">
        <v>114</v>
      </c>
      <c r="D39" s="86" t="s">
        <v>132</v>
      </c>
      <c r="E39" s="87"/>
      <c r="F39" s="87"/>
      <c r="G39" s="87"/>
      <c r="H39" s="87"/>
      <c r="I39" s="87"/>
      <c r="J39" s="87"/>
    </row>
    <row r="40" spans="1:10" ht="18" customHeight="1" x14ac:dyDescent="0.25">
      <c r="A40" s="92" t="s">
        <v>50</v>
      </c>
      <c r="B40" s="93" t="s">
        <v>64</v>
      </c>
      <c r="C40" s="92" t="s">
        <v>112</v>
      </c>
      <c r="D40" s="94" t="s">
        <v>65</v>
      </c>
      <c r="E40" s="93" t="s">
        <v>30</v>
      </c>
      <c r="F40" s="92" t="s">
        <v>31</v>
      </c>
      <c r="G40" s="92" t="s">
        <v>31</v>
      </c>
      <c r="H40" s="92" t="s">
        <v>31</v>
      </c>
      <c r="I40" s="95" t="s">
        <v>32</v>
      </c>
      <c r="J40" s="96" t="s">
        <v>56</v>
      </c>
    </row>
    <row r="41" spans="1:10" ht="15" customHeight="1" x14ac:dyDescent="0.25">
      <c r="A41" s="83" t="s">
        <v>50</v>
      </c>
      <c r="B41" s="84" t="s">
        <v>159</v>
      </c>
      <c r="C41" s="85" t="s">
        <v>114</v>
      </c>
      <c r="D41" s="86" t="s">
        <v>147</v>
      </c>
      <c r="E41" s="87"/>
      <c r="F41" s="87"/>
      <c r="G41" s="87"/>
      <c r="H41" s="87"/>
      <c r="I41" s="87"/>
      <c r="J41" s="87"/>
    </row>
    <row r="42" spans="1:10" ht="15" customHeight="1" x14ac:dyDescent="0.25">
      <c r="A42" s="83" t="s">
        <v>50</v>
      </c>
      <c r="B42" s="84" t="s">
        <v>160</v>
      </c>
      <c r="C42" s="85" t="s">
        <v>114</v>
      </c>
      <c r="D42" s="86" t="s">
        <v>161</v>
      </c>
      <c r="E42" s="87"/>
      <c r="F42" s="87"/>
      <c r="G42" s="87"/>
      <c r="H42" s="87"/>
      <c r="I42" s="87"/>
      <c r="J42" s="87"/>
    </row>
    <row r="43" spans="1:10" ht="15" customHeight="1" x14ac:dyDescent="0.25">
      <c r="A43" s="83" t="s">
        <v>50</v>
      </c>
      <c r="B43" s="84" t="s">
        <v>162</v>
      </c>
      <c r="C43" s="85" t="s">
        <v>114</v>
      </c>
      <c r="D43" s="86" t="s">
        <v>163</v>
      </c>
      <c r="E43" s="87"/>
      <c r="F43" s="87"/>
      <c r="G43" s="87"/>
      <c r="H43" s="87"/>
      <c r="I43" s="87"/>
      <c r="J43" s="87"/>
    </row>
    <row r="44" spans="1:10" ht="19.5" customHeight="1" x14ac:dyDescent="0.25">
      <c r="A44" s="127" t="s">
        <v>164</v>
      </c>
      <c r="B44" s="127"/>
      <c r="C44" s="127"/>
      <c r="D44" s="127"/>
      <c r="E44" s="127"/>
      <c r="F44" s="127"/>
      <c r="G44" s="127"/>
      <c r="H44" s="127"/>
      <c r="I44" s="127"/>
      <c r="J44" s="127"/>
    </row>
    <row r="45" spans="1:10" ht="18" customHeight="1" x14ac:dyDescent="0.25">
      <c r="A45" s="99" t="s">
        <v>66</v>
      </c>
      <c r="B45" s="100" t="s">
        <v>67</v>
      </c>
      <c r="C45" s="99" t="s">
        <v>112</v>
      </c>
      <c r="D45" s="101" t="s">
        <v>68</v>
      </c>
      <c r="E45" s="100" t="s">
        <v>30</v>
      </c>
      <c r="F45" s="100" t="s">
        <v>30</v>
      </c>
      <c r="G45" s="99" t="s">
        <v>31</v>
      </c>
      <c r="H45" s="99" t="s">
        <v>31</v>
      </c>
      <c r="I45" s="102" t="s">
        <v>32</v>
      </c>
      <c r="J45" s="103" t="s">
        <v>69</v>
      </c>
    </row>
    <row r="46" spans="1:10" ht="15" customHeight="1" x14ac:dyDescent="0.25">
      <c r="A46" s="83" t="s">
        <v>66</v>
      </c>
      <c r="B46" s="84" t="s">
        <v>165</v>
      </c>
      <c r="C46" s="85" t="s">
        <v>114</v>
      </c>
      <c r="D46" s="86" t="s">
        <v>166</v>
      </c>
      <c r="E46" s="87"/>
      <c r="F46" s="87"/>
      <c r="G46" s="87"/>
      <c r="H46" s="87"/>
      <c r="I46" s="87"/>
      <c r="J46" s="87"/>
    </row>
    <row r="47" spans="1:10" ht="15" customHeight="1" x14ac:dyDescent="0.25">
      <c r="A47" s="83" t="s">
        <v>66</v>
      </c>
      <c r="B47" s="84" t="s">
        <v>167</v>
      </c>
      <c r="C47" s="85" t="s">
        <v>114</v>
      </c>
      <c r="D47" s="86" t="s">
        <v>168</v>
      </c>
      <c r="E47" s="87"/>
      <c r="F47" s="87"/>
      <c r="G47" s="87"/>
      <c r="H47" s="87"/>
      <c r="I47" s="87"/>
      <c r="J47" s="87"/>
    </row>
    <row r="48" spans="1:10" ht="15" customHeight="1" x14ac:dyDescent="0.25">
      <c r="A48" s="83" t="s">
        <v>66</v>
      </c>
      <c r="B48" s="84" t="s">
        <v>169</v>
      </c>
      <c r="C48" s="85" t="s">
        <v>114</v>
      </c>
      <c r="D48" s="86" t="s">
        <v>170</v>
      </c>
      <c r="E48" s="87"/>
      <c r="F48" s="87"/>
      <c r="G48" s="87"/>
      <c r="H48" s="87"/>
      <c r="I48" s="87"/>
      <c r="J48" s="87"/>
    </row>
    <row r="49" spans="1:10" ht="15" customHeight="1" x14ac:dyDescent="0.25">
      <c r="A49" s="83" t="s">
        <v>66</v>
      </c>
      <c r="B49" s="88" t="s">
        <v>171</v>
      </c>
      <c r="C49" s="89" t="s">
        <v>117</v>
      </c>
      <c r="D49" s="90" t="s">
        <v>172</v>
      </c>
      <c r="E49" s="87"/>
      <c r="F49" s="87"/>
      <c r="G49" s="87"/>
      <c r="H49" s="87"/>
      <c r="I49" s="87"/>
      <c r="J49" s="87"/>
    </row>
    <row r="50" spans="1:10" ht="15" customHeight="1" x14ac:dyDescent="0.25">
      <c r="A50" s="83" t="s">
        <v>66</v>
      </c>
      <c r="B50" s="88" t="s">
        <v>173</v>
      </c>
      <c r="C50" s="89" t="s">
        <v>117</v>
      </c>
      <c r="D50" s="90" t="s">
        <v>174</v>
      </c>
      <c r="E50" s="87"/>
      <c r="F50" s="87"/>
      <c r="G50" s="87"/>
      <c r="H50" s="87"/>
      <c r="I50" s="87"/>
      <c r="J50" s="87"/>
    </row>
    <row r="51" spans="1:10" ht="18" customHeight="1" x14ac:dyDescent="0.25">
      <c r="A51" s="99" t="s">
        <v>66</v>
      </c>
      <c r="B51" s="100" t="s">
        <v>70</v>
      </c>
      <c r="C51" s="99" t="s">
        <v>112</v>
      </c>
      <c r="D51" s="101" t="s">
        <v>71</v>
      </c>
      <c r="E51" s="100" t="s">
        <v>30</v>
      </c>
      <c r="F51" s="100" t="s">
        <v>30</v>
      </c>
      <c r="G51" s="99" t="s">
        <v>31</v>
      </c>
      <c r="H51" s="99" t="s">
        <v>31</v>
      </c>
      <c r="I51" s="102" t="s">
        <v>32</v>
      </c>
      <c r="J51" s="103" t="s">
        <v>56</v>
      </c>
    </row>
    <row r="52" spans="1:10" ht="15" customHeight="1" x14ac:dyDescent="0.25">
      <c r="A52" s="83" t="s">
        <v>66</v>
      </c>
      <c r="B52" s="84" t="s">
        <v>175</v>
      </c>
      <c r="C52" s="85" t="s">
        <v>114</v>
      </c>
      <c r="D52" s="86" t="s">
        <v>176</v>
      </c>
      <c r="E52" s="87"/>
      <c r="F52" s="87"/>
      <c r="G52" s="87"/>
      <c r="H52" s="87"/>
      <c r="I52" s="87"/>
      <c r="J52" s="87"/>
    </row>
    <row r="53" spans="1:10" ht="18" customHeight="1" x14ac:dyDescent="0.25">
      <c r="A53" s="99" t="s">
        <v>66</v>
      </c>
      <c r="B53" s="100" t="s">
        <v>72</v>
      </c>
      <c r="C53" s="99" t="s">
        <v>112</v>
      </c>
      <c r="D53" s="101" t="s">
        <v>73</v>
      </c>
      <c r="E53" s="100" t="s">
        <v>30</v>
      </c>
      <c r="F53" s="100" t="s">
        <v>30</v>
      </c>
      <c r="G53" s="99" t="s">
        <v>31</v>
      </c>
      <c r="H53" s="99" t="s">
        <v>31</v>
      </c>
      <c r="I53" s="104" t="s">
        <v>43</v>
      </c>
      <c r="J53" s="103" t="s">
        <v>56</v>
      </c>
    </row>
    <row r="54" spans="1:10" ht="15" customHeight="1" x14ac:dyDescent="0.25">
      <c r="A54" s="83" t="s">
        <v>66</v>
      </c>
      <c r="B54" s="84" t="s">
        <v>177</v>
      </c>
      <c r="C54" s="85" t="s">
        <v>114</v>
      </c>
      <c r="D54" s="86" t="s">
        <v>176</v>
      </c>
      <c r="E54" s="87"/>
      <c r="F54" s="87"/>
      <c r="G54" s="87"/>
      <c r="H54" s="87"/>
      <c r="I54" s="87"/>
      <c r="J54" s="87"/>
    </row>
    <row r="55" spans="1:10" ht="18" customHeight="1" x14ac:dyDescent="0.25">
      <c r="A55" s="99" t="s">
        <v>66</v>
      </c>
      <c r="B55" s="100" t="s">
        <v>74</v>
      </c>
      <c r="C55" s="99" t="s">
        <v>112</v>
      </c>
      <c r="D55" s="101" t="s">
        <v>75</v>
      </c>
      <c r="E55" s="100" t="s">
        <v>30</v>
      </c>
      <c r="F55" s="99" t="s">
        <v>31</v>
      </c>
      <c r="G55" s="99" t="s">
        <v>31</v>
      </c>
      <c r="H55" s="99" t="s">
        <v>31</v>
      </c>
      <c r="I55" s="104" t="s">
        <v>43</v>
      </c>
      <c r="J55" s="103" t="s">
        <v>44</v>
      </c>
    </row>
    <row r="56" spans="1:10" ht="15" customHeight="1" x14ac:dyDescent="0.25">
      <c r="A56" s="83" t="s">
        <v>66</v>
      </c>
      <c r="B56" s="88" t="s">
        <v>178</v>
      </c>
      <c r="C56" s="89" t="s">
        <v>117</v>
      </c>
      <c r="D56" s="90" t="s">
        <v>179</v>
      </c>
      <c r="E56" s="87"/>
      <c r="F56" s="87"/>
      <c r="G56" s="87"/>
      <c r="H56" s="87"/>
      <c r="I56" s="87"/>
      <c r="J56" s="87"/>
    </row>
    <row r="57" spans="1:10" ht="15" customHeight="1" x14ac:dyDescent="0.25">
      <c r="A57" s="83" t="s">
        <v>66</v>
      </c>
      <c r="B57" s="84" t="s">
        <v>180</v>
      </c>
      <c r="C57" s="85" t="s">
        <v>114</v>
      </c>
      <c r="D57" s="86" t="s">
        <v>181</v>
      </c>
      <c r="E57" s="87"/>
      <c r="F57" s="87"/>
      <c r="G57" s="87"/>
      <c r="H57" s="87"/>
      <c r="I57" s="87"/>
      <c r="J57" s="87"/>
    </row>
    <row r="58" spans="1:10" ht="15" customHeight="1" x14ac:dyDescent="0.25">
      <c r="A58" s="83" t="s">
        <v>66</v>
      </c>
      <c r="B58" s="84" t="s">
        <v>182</v>
      </c>
      <c r="C58" s="85" t="s">
        <v>114</v>
      </c>
      <c r="D58" s="86" t="s">
        <v>132</v>
      </c>
      <c r="E58" s="87"/>
      <c r="F58" s="87"/>
      <c r="G58" s="87"/>
      <c r="H58" s="87"/>
      <c r="I58" s="87"/>
      <c r="J58" s="87"/>
    </row>
    <row r="59" spans="1:10" ht="18" customHeight="1" x14ac:dyDescent="0.25">
      <c r="A59" s="99" t="s">
        <v>66</v>
      </c>
      <c r="B59" s="100" t="s">
        <v>76</v>
      </c>
      <c r="C59" s="99" t="s">
        <v>112</v>
      </c>
      <c r="D59" s="101" t="s">
        <v>77</v>
      </c>
      <c r="E59" s="100" t="s">
        <v>30</v>
      </c>
      <c r="F59" s="99" t="s">
        <v>31</v>
      </c>
      <c r="G59" s="99" t="s">
        <v>31</v>
      </c>
      <c r="H59" s="99" t="s">
        <v>31</v>
      </c>
      <c r="I59" s="102" t="s">
        <v>32</v>
      </c>
      <c r="J59" s="103" t="s">
        <v>78</v>
      </c>
    </row>
    <row r="60" spans="1:10" ht="15" customHeight="1" x14ac:dyDescent="0.25">
      <c r="A60" s="83" t="s">
        <v>66</v>
      </c>
      <c r="B60" s="84" t="s">
        <v>183</v>
      </c>
      <c r="C60" s="85" t="s">
        <v>114</v>
      </c>
      <c r="D60" s="86" t="s">
        <v>184</v>
      </c>
      <c r="E60" s="87"/>
      <c r="F60" s="87"/>
      <c r="G60" s="87"/>
      <c r="H60" s="87"/>
      <c r="I60" s="87"/>
      <c r="J60" s="87"/>
    </row>
    <row r="61" spans="1:10" ht="15" customHeight="1" x14ac:dyDescent="0.25">
      <c r="A61" s="83" t="s">
        <v>66</v>
      </c>
      <c r="B61" s="84" t="s">
        <v>185</v>
      </c>
      <c r="C61" s="85" t="s">
        <v>114</v>
      </c>
      <c r="D61" s="86" t="s">
        <v>186</v>
      </c>
      <c r="E61" s="87"/>
      <c r="F61" s="87"/>
      <c r="G61" s="87"/>
      <c r="H61" s="87"/>
      <c r="I61" s="87"/>
      <c r="J61" s="87"/>
    </row>
    <row r="62" spans="1:10" ht="15" customHeight="1" x14ac:dyDescent="0.25">
      <c r="A62" s="83" t="s">
        <v>66</v>
      </c>
      <c r="B62" s="84" t="s">
        <v>187</v>
      </c>
      <c r="C62" s="85" t="s">
        <v>114</v>
      </c>
      <c r="D62" s="86" t="s">
        <v>188</v>
      </c>
      <c r="E62" s="87"/>
      <c r="F62" s="87"/>
      <c r="G62" s="87"/>
      <c r="H62" s="87"/>
      <c r="I62" s="87"/>
      <c r="J62" s="87"/>
    </row>
    <row r="63" spans="1:10" ht="19.5" customHeight="1" x14ac:dyDescent="0.25">
      <c r="A63" s="128" t="s">
        <v>189</v>
      </c>
      <c r="B63" s="128"/>
      <c r="C63" s="128"/>
      <c r="D63" s="128"/>
      <c r="E63" s="128"/>
      <c r="F63" s="128"/>
      <c r="G63" s="128"/>
      <c r="H63" s="128"/>
      <c r="I63" s="128"/>
      <c r="J63" s="128"/>
    </row>
    <row r="64" spans="1:10" ht="18" customHeight="1" x14ac:dyDescent="0.25">
      <c r="A64" s="105" t="s">
        <v>79</v>
      </c>
      <c r="B64" s="106" t="s">
        <v>80</v>
      </c>
      <c r="C64" s="105" t="s">
        <v>112</v>
      </c>
      <c r="D64" s="107" t="s">
        <v>81</v>
      </c>
      <c r="E64" s="106" t="s">
        <v>30</v>
      </c>
      <c r="F64" s="105" t="s">
        <v>31</v>
      </c>
      <c r="G64" s="105" t="s">
        <v>31</v>
      </c>
      <c r="H64" s="106" t="s">
        <v>30</v>
      </c>
      <c r="I64" s="108" t="s">
        <v>32</v>
      </c>
      <c r="J64" s="109" t="s">
        <v>82</v>
      </c>
    </row>
    <row r="65" spans="1:10" ht="15" customHeight="1" x14ac:dyDescent="0.25">
      <c r="A65" s="83" t="s">
        <v>79</v>
      </c>
      <c r="B65" s="88" t="s">
        <v>190</v>
      </c>
      <c r="C65" s="89" t="s">
        <v>117</v>
      </c>
      <c r="D65" s="90" t="s">
        <v>191</v>
      </c>
      <c r="E65" s="87"/>
      <c r="F65" s="87"/>
      <c r="G65" s="87"/>
      <c r="H65" s="87"/>
      <c r="I65" s="87"/>
      <c r="J65" s="87"/>
    </row>
    <row r="66" spans="1:10" ht="15" customHeight="1" x14ac:dyDescent="0.25">
      <c r="A66" s="83" t="s">
        <v>79</v>
      </c>
      <c r="B66" s="88" t="s">
        <v>192</v>
      </c>
      <c r="C66" s="89" t="s">
        <v>117</v>
      </c>
      <c r="D66" s="90" t="s">
        <v>193</v>
      </c>
      <c r="E66" s="87"/>
      <c r="F66" s="87"/>
      <c r="G66" s="87"/>
      <c r="H66" s="87"/>
      <c r="I66" s="87"/>
      <c r="J66" s="87"/>
    </row>
    <row r="67" spans="1:10" ht="18" customHeight="1" x14ac:dyDescent="0.25">
      <c r="A67" s="105" t="s">
        <v>79</v>
      </c>
      <c r="B67" s="106" t="s">
        <v>83</v>
      </c>
      <c r="C67" s="105" t="s">
        <v>112</v>
      </c>
      <c r="D67" s="107" t="s">
        <v>84</v>
      </c>
      <c r="E67" s="106" t="s">
        <v>30</v>
      </c>
      <c r="F67" s="105" t="s">
        <v>31</v>
      </c>
      <c r="G67" s="105" t="s">
        <v>31</v>
      </c>
      <c r="H67" s="106" t="s">
        <v>30</v>
      </c>
      <c r="I67" s="108" t="s">
        <v>32</v>
      </c>
      <c r="J67" s="109" t="s">
        <v>85</v>
      </c>
    </row>
    <row r="68" spans="1:10" ht="15" customHeight="1" x14ac:dyDescent="0.25">
      <c r="A68" s="83" t="s">
        <v>79</v>
      </c>
      <c r="B68" s="84" t="s">
        <v>194</v>
      </c>
      <c r="C68" s="85" t="s">
        <v>114</v>
      </c>
      <c r="D68" s="86" t="s">
        <v>147</v>
      </c>
      <c r="E68" s="87"/>
      <c r="F68" s="87"/>
      <c r="G68" s="87"/>
      <c r="H68" s="87"/>
      <c r="I68" s="87"/>
      <c r="J68" s="87"/>
    </row>
    <row r="69" spans="1:10" ht="15" customHeight="1" x14ac:dyDescent="0.25">
      <c r="A69" s="83" t="s">
        <v>79</v>
      </c>
      <c r="B69" s="84" t="s">
        <v>195</v>
      </c>
      <c r="C69" s="85" t="s">
        <v>114</v>
      </c>
      <c r="D69" s="86" t="s">
        <v>196</v>
      </c>
      <c r="E69" s="87"/>
      <c r="F69" s="87"/>
      <c r="G69" s="87"/>
      <c r="H69" s="87"/>
      <c r="I69" s="87"/>
      <c r="J69" s="87"/>
    </row>
    <row r="70" spans="1:10" ht="18" customHeight="1" x14ac:dyDescent="0.25">
      <c r="A70" s="105" t="s">
        <v>79</v>
      </c>
      <c r="B70" s="106" t="s">
        <v>86</v>
      </c>
      <c r="C70" s="105" t="s">
        <v>112</v>
      </c>
      <c r="D70" s="107" t="s">
        <v>87</v>
      </c>
      <c r="E70" s="106" t="s">
        <v>30</v>
      </c>
      <c r="F70" s="105" t="s">
        <v>31</v>
      </c>
      <c r="G70" s="105" t="s">
        <v>31</v>
      </c>
      <c r="H70" s="106" t="s">
        <v>30</v>
      </c>
      <c r="I70" s="108" t="s">
        <v>32</v>
      </c>
      <c r="J70" s="109" t="s">
        <v>82</v>
      </c>
    </row>
    <row r="71" spans="1:10" ht="15" customHeight="1" x14ac:dyDescent="0.25">
      <c r="A71" s="83" t="s">
        <v>79</v>
      </c>
      <c r="B71" s="84" t="s">
        <v>197</v>
      </c>
      <c r="C71" s="85" t="s">
        <v>114</v>
      </c>
      <c r="D71" s="86" t="s">
        <v>198</v>
      </c>
      <c r="E71" s="87"/>
      <c r="F71" s="87"/>
      <c r="G71" s="87"/>
      <c r="H71" s="87"/>
      <c r="I71" s="87"/>
      <c r="J71" s="87"/>
    </row>
    <row r="72" spans="1:10" ht="15" customHeight="1" x14ac:dyDescent="0.25">
      <c r="A72" s="83" t="s">
        <v>79</v>
      </c>
      <c r="B72" s="88" t="s">
        <v>199</v>
      </c>
      <c r="C72" s="89" t="s">
        <v>117</v>
      </c>
      <c r="D72" s="90" t="s">
        <v>200</v>
      </c>
      <c r="E72" s="87"/>
      <c r="F72" s="87"/>
      <c r="G72" s="87"/>
      <c r="H72" s="87"/>
      <c r="I72" s="87"/>
      <c r="J72" s="87"/>
    </row>
    <row r="73" spans="1:10" ht="15" customHeight="1" x14ac:dyDescent="0.25">
      <c r="A73" s="83" t="s">
        <v>79</v>
      </c>
      <c r="B73" s="88" t="s">
        <v>201</v>
      </c>
      <c r="C73" s="89" t="s">
        <v>117</v>
      </c>
      <c r="D73" s="90" t="s">
        <v>202</v>
      </c>
      <c r="E73" s="87"/>
      <c r="F73" s="87"/>
      <c r="G73" s="87"/>
      <c r="H73" s="87"/>
      <c r="I73" s="87"/>
      <c r="J73" s="87"/>
    </row>
    <row r="74" spans="1:10" ht="18" customHeight="1" x14ac:dyDescent="0.25">
      <c r="A74" s="105" t="s">
        <v>79</v>
      </c>
      <c r="B74" s="106" t="s">
        <v>88</v>
      </c>
      <c r="C74" s="105" t="s">
        <v>112</v>
      </c>
      <c r="D74" s="107" t="s">
        <v>89</v>
      </c>
      <c r="E74" s="106" t="s">
        <v>30</v>
      </c>
      <c r="F74" s="105" t="s">
        <v>31</v>
      </c>
      <c r="G74" s="105" t="s">
        <v>31</v>
      </c>
      <c r="H74" s="105" t="s">
        <v>31</v>
      </c>
      <c r="I74" s="108" t="s">
        <v>32</v>
      </c>
      <c r="J74" s="109" t="s">
        <v>78</v>
      </c>
    </row>
    <row r="75" spans="1:10" ht="15" customHeight="1" x14ac:dyDescent="0.25">
      <c r="A75" s="83" t="s">
        <v>79</v>
      </c>
      <c r="B75" s="84" t="s">
        <v>203</v>
      </c>
      <c r="C75" s="85" t="s">
        <v>114</v>
      </c>
      <c r="D75" s="86" t="s">
        <v>204</v>
      </c>
      <c r="E75" s="87"/>
      <c r="F75" s="87"/>
      <c r="G75" s="87"/>
      <c r="H75" s="87"/>
      <c r="I75" s="87"/>
      <c r="J75" s="87"/>
    </row>
    <row r="76" spans="1:10" ht="15" customHeight="1" x14ac:dyDescent="0.25">
      <c r="A76" s="83" t="s">
        <v>79</v>
      </c>
      <c r="B76" s="84" t="s">
        <v>205</v>
      </c>
      <c r="C76" s="85" t="s">
        <v>114</v>
      </c>
      <c r="D76" s="86" t="s">
        <v>206</v>
      </c>
      <c r="E76" s="87"/>
      <c r="F76" s="87"/>
      <c r="G76" s="87"/>
      <c r="H76" s="87"/>
      <c r="I76" s="87"/>
      <c r="J76" s="87"/>
    </row>
    <row r="77" spans="1:10" ht="18" customHeight="1" x14ac:dyDescent="0.25">
      <c r="A77" s="105" t="s">
        <v>79</v>
      </c>
      <c r="B77" s="106" t="s">
        <v>90</v>
      </c>
      <c r="C77" s="105" t="s">
        <v>112</v>
      </c>
      <c r="D77" s="107" t="s">
        <v>91</v>
      </c>
      <c r="E77" s="106" t="s">
        <v>30</v>
      </c>
      <c r="F77" s="105" t="s">
        <v>31</v>
      </c>
      <c r="G77" s="105" t="s">
        <v>31</v>
      </c>
      <c r="H77" s="105" t="s">
        <v>31</v>
      </c>
      <c r="I77" s="108" t="s">
        <v>32</v>
      </c>
      <c r="J77" s="109" t="s">
        <v>69</v>
      </c>
    </row>
    <row r="78" spans="1:10" ht="15" customHeight="1" x14ac:dyDescent="0.25">
      <c r="A78" s="83" t="s">
        <v>79</v>
      </c>
      <c r="B78" s="84" t="s">
        <v>207</v>
      </c>
      <c r="C78" s="85" t="s">
        <v>114</v>
      </c>
      <c r="D78" s="86" t="s">
        <v>208</v>
      </c>
      <c r="E78" s="87"/>
      <c r="F78" s="87"/>
      <c r="G78" s="87"/>
      <c r="H78" s="87"/>
      <c r="I78" s="87"/>
      <c r="J78" s="87"/>
    </row>
    <row r="79" spans="1:10" ht="15" customHeight="1" x14ac:dyDescent="0.25">
      <c r="A79" s="83" t="s">
        <v>79</v>
      </c>
      <c r="B79" s="84" t="s">
        <v>209</v>
      </c>
      <c r="C79" s="85" t="s">
        <v>114</v>
      </c>
      <c r="D79" s="86" t="s">
        <v>210</v>
      </c>
      <c r="E79" s="87"/>
      <c r="F79" s="87"/>
      <c r="G79" s="87"/>
      <c r="H79" s="87"/>
      <c r="I79" s="87"/>
      <c r="J79" s="87"/>
    </row>
    <row r="80" spans="1:10" ht="15" customHeight="1" x14ac:dyDescent="0.25">
      <c r="A80" s="83" t="s">
        <v>79</v>
      </c>
      <c r="B80" s="88" t="s">
        <v>211</v>
      </c>
      <c r="C80" s="89" t="s">
        <v>117</v>
      </c>
      <c r="D80" s="90" t="s">
        <v>212</v>
      </c>
      <c r="E80" s="87"/>
      <c r="F80" s="87"/>
      <c r="G80" s="87"/>
      <c r="H80" s="87"/>
      <c r="I80" s="87"/>
      <c r="J80" s="87"/>
    </row>
    <row r="81" spans="1:10" ht="18" customHeight="1" x14ac:dyDescent="0.25">
      <c r="A81" s="105" t="s">
        <v>79</v>
      </c>
      <c r="B81" s="106" t="s">
        <v>92</v>
      </c>
      <c r="C81" s="105" t="s">
        <v>112</v>
      </c>
      <c r="D81" s="107" t="s">
        <v>93</v>
      </c>
      <c r="E81" s="106" t="s">
        <v>30</v>
      </c>
      <c r="F81" s="105" t="s">
        <v>31</v>
      </c>
      <c r="G81" s="106" t="s">
        <v>30</v>
      </c>
      <c r="H81" s="105" t="s">
        <v>31</v>
      </c>
      <c r="I81" s="108" t="s">
        <v>32</v>
      </c>
      <c r="J81" s="109" t="s">
        <v>69</v>
      </c>
    </row>
    <row r="82" spans="1:10" ht="15" customHeight="1" x14ac:dyDescent="0.25">
      <c r="A82" s="83" t="s">
        <v>79</v>
      </c>
      <c r="B82" s="88" t="s">
        <v>213</v>
      </c>
      <c r="C82" s="89" t="s">
        <v>117</v>
      </c>
      <c r="D82" s="90" t="s">
        <v>214</v>
      </c>
      <c r="E82" s="87"/>
      <c r="F82" s="87"/>
      <c r="G82" s="87"/>
      <c r="H82" s="87"/>
      <c r="I82" s="87"/>
      <c r="J82" s="87"/>
    </row>
    <row r="83" spans="1:10" ht="15" customHeight="1" x14ac:dyDescent="0.25">
      <c r="A83" s="83" t="s">
        <v>79</v>
      </c>
      <c r="B83" s="84" t="s">
        <v>215</v>
      </c>
      <c r="C83" s="85" t="s">
        <v>114</v>
      </c>
      <c r="D83" s="86" t="s">
        <v>216</v>
      </c>
      <c r="E83" s="87"/>
      <c r="F83" s="87"/>
      <c r="G83" s="87"/>
      <c r="H83" s="87"/>
      <c r="I83" s="87"/>
      <c r="J83" s="87"/>
    </row>
    <row r="84" spans="1:10" ht="15" customHeight="1" x14ac:dyDescent="0.25">
      <c r="A84" s="83" t="s">
        <v>79</v>
      </c>
      <c r="B84" s="84" t="s">
        <v>217</v>
      </c>
      <c r="C84" s="85" t="s">
        <v>114</v>
      </c>
      <c r="D84" s="86" t="s">
        <v>218</v>
      </c>
      <c r="E84" s="87"/>
      <c r="F84" s="87"/>
      <c r="G84" s="87"/>
      <c r="H84" s="87"/>
      <c r="I84" s="87"/>
      <c r="J84" s="87"/>
    </row>
    <row r="85" spans="1:10" ht="18" customHeight="1" x14ac:dyDescent="0.25">
      <c r="A85" s="105" t="s">
        <v>79</v>
      </c>
      <c r="B85" s="106" t="s">
        <v>94</v>
      </c>
      <c r="C85" s="105" t="s">
        <v>112</v>
      </c>
      <c r="D85" s="107" t="s">
        <v>95</v>
      </c>
      <c r="E85" s="106" t="s">
        <v>30</v>
      </c>
      <c r="F85" s="105" t="s">
        <v>31</v>
      </c>
      <c r="G85" s="105" t="s">
        <v>31</v>
      </c>
      <c r="H85" s="105" t="s">
        <v>31</v>
      </c>
      <c r="I85" s="110" t="s">
        <v>43</v>
      </c>
      <c r="J85" s="109" t="s">
        <v>82</v>
      </c>
    </row>
    <row r="86" spans="1:10" ht="15" customHeight="1" x14ac:dyDescent="0.25">
      <c r="A86" s="83" t="s">
        <v>79</v>
      </c>
      <c r="B86" s="88" t="s">
        <v>219</v>
      </c>
      <c r="C86" s="89" t="s">
        <v>117</v>
      </c>
      <c r="D86" s="90" t="s">
        <v>220</v>
      </c>
      <c r="E86" s="87"/>
      <c r="F86" s="87"/>
      <c r="G86" s="87"/>
      <c r="H86" s="87"/>
      <c r="I86" s="87"/>
      <c r="J86" s="87"/>
    </row>
    <row r="87" spans="1:10" ht="15" customHeight="1" x14ac:dyDescent="0.25">
      <c r="A87" s="83" t="s">
        <v>79</v>
      </c>
      <c r="B87" s="88" t="s">
        <v>221</v>
      </c>
      <c r="C87" s="89" t="s">
        <v>117</v>
      </c>
      <c r="D87" s="90" t="s">
        <v>222</v>
      </c>
      <c r="E87" s="87"/>
      <c r="F87" s="87"/>
      <c r="G87" s="87"/>
      <c r="H87" s="87"/>
      <c r="I87" s="87"/>
      <c r="J87" s="87"/>
    </row>
    <row r="88" spans="1:10" ht="19.5" customHeight="1" x14ac:dyDescent="0.25">
      <c r="A88" s="124" t="s">
        <v>223</v>
      </c>
      <c r="B88" s="124"/>
      <c r="C88" s="124"/>
      <c r="D88" s="124"/>
      <c r="E88" s="124"/>
      <c r="F88" s="124"/>
      <c r="G88" s="124"/>
      <c r="H88" s="124"/>
      <c r="I88" s="124"/>
      <c r="J88" s="124"/>
    </row>
    <row r="89" spans="1:10" ht="18" customHeight="1" x14ac:dyDescent="0.25">
      <c r="A89" s="111" t="s">
        <v>96</v>
      </c>
      <c r="B89" s="112" t="s">
        <v>97</v>
      </c>
      <c r="C89" s="111" t="s">
        <v>112</v>
      </c>
      <c r="D89" s="113" t="s">
        <v>98</v>
      </c>
      <c r="E89" s="112" t="s">
        <v>30</v>
      </c>
      <c r="F89" s="112" t="s">
        <v>30</v>
      </c>
      <c r="G89" s="111" t="s">
        <v>31</v>
      </c>
      <c r="H89" s="111" t="s">
        <v>31</v>
      </c>
      <c r="I89" s="114" t="s">
        <v>43</v>
      </c>
      <c r="J89" s="115" t="s">
        <v>56</v>
      </c>
    </row>
    <row r="90" spans="1:10" ht="15" customHeight="1" x14ac:dyDescent="0.25">
      <c r="A90" s="83" t="s">
        <v>96</v>
      </c>
      <c r="B90" s="84" t="s">
        <v>224</v>
      </c>
      <c r="C90" s="85" t="s">
        <v>114</v>
      </c>
      <c r="D90" s="86" t="s">
        <v>176</v>
      </c>
      <c r="E90" s="87"/>
      <c r="F90" s="87"/>
      <c r="G90" s="87"/>
      <c r="H90" s="87"/>
      <c r="I90" s="87"/>
      <c r="J90" s="87"/>
    </row>
    <row r="91" spans="1:10" ht="15" customHeight="1" x14ac:dyDescent="0.25">
      <c r="A91" s="83" t="s">
        <v>96</v>
      </c>
      <c r="B91" s="84" t="s">
        <v>225</v>
      </c>
      <c r="C91" s="85" t="s">
        <v>114</v>
      </c>
      <c r="D91" s="86" t="s">
        <v>226</v>
      </c>
      <c r="E91" s="87"/>
      <c r="F91" s="87"/>
      <c r="G91" s="87"/>
      <c r="H91" s="87"/>
      <c r="I91" s="87"/>
      <c r="J91" s="87"/>
    </row>
    <row r="92" spans="1:10" ht="18" customHeight="1" x14ac:dyDescent="0.25">
      <c r="A92" s="111" t="s">
        <v>96</v>
      </c>
      <c r="B92" s="112" t="s">
        <v>99</v>
      </c>
      <c r="C92" s="111" t="s">
        <v>112</v>
      </c>
      <c r="D92" s="113" t="s">
        <v>100</v>
      </c>
      <c r="E92" s="112" t="s">
        <v>30</v>
      </c>
      <c r="F92" s="111" t="s">
        <v>31</v>
      </c>
      <c r="G92" s="111" t="s">
        <v>31</v>
      </c>
      <c r="H92" s="111" t="s">
        <v>31</v>
      </c>
      <c r="I92" s="114" t="s">
        <v>43</v>
      </c>
      <c r="J92" s="115" t="s">
        <v>56</v>
      </c>
    </row>
    <row r="93" spans="1:10" ht="15" customHeight="1" x14ac:dyDescent="0.25">
      <c r="A93" s="83" t="s">
        <v>96</v>
      </c>
      <c r="B93" s="88" t="s">
        <v>227</v>
      </c>
      <c r="C93" s="89" t="s">
        <v>117</v>
      </c>
      <c r="D93" s="90" t="s">
        <v>228</v>
      </c>
      <c r="E93" s="87"/>
      <c r="F93" s="87"/>
      <c r="G93" s="87"/>
      <c r="H93" s="87"/>
      <c r="I93" s="87"/>
      <c r="J93" s="87"/>
    </row>
    <row r="94" spans="1:10" ht="18" customHeight="1" x14ac:dyDescent="0.25">
      <c r="A94" s="111" t="s">
        <v>96</v>
      </c>
      <c r="B94" s="112" t="s">
        <v>101</v>
      </c>
      <c r="C94" s="111" t="s">
        <v>112</v>
      </c>
      <c r="D94" s="113" t="s">
        <v>102</v>
      </c>
      <c r="E94" s="112" t="s">
        <v>30</v>
      </c>
      <c r="F94" s="112" t="s">
        <v>30</v>
      </c>
      <c r="G94" s="111" t="s">
        <v>31</v>
      </c>
      <c r="H94" s="111" t="s">
        <v>31</v>
      </c>
      <c r="I94" s="116" t="s">
        <v>63</v>
      </c>
      <c r="J94" s="115" t="s">
        <v>56</v>
      </c>
    </row>
    <row r="95" spans="1:10" ht="15" customHeight="1" x14ac:dyDescent="0.25">
      <c r="A95" s="83" t="s">
        <v>96</v>
      </c>
      <c r="B95" s="84" t="s">
        <v>229</v>
      </c>
      <c r="C95" s="85" t="s">
        <v>114</v>
      </c>
      <c r="D95" s="86" t="s">
        <v>147</v>
      </c>
      <c r="E95" s="87"/>
      <c r="F95" s="87"/>
      <c r="G95" s="87"/>
      <c r="H95" s="87"/>
      <c r="I95" s="87"/>
      <c r="J95" s="87"/>
    </row>
    <row r="96" spans="1:10" ht="15" customHeight="1" x14ac:dyDescent="0.25">
      <c r="A96" s="83" t="s">
        <v>96</v>
      </c>
      <c r="B96" s="84" t="s">
        <v>230</v>
      </c>
      <c r="C96" s="85" t="s">
        <v>114</v>
      </c>
      <c r="D96" s="86" t="s">
        <v>226</v>
      </c>
      <c r="E96" s="87"/>
      <c r="F96" s="87"/>
      <c r="G96" s="87"/>
      <c r="H96" s="87"/>
      <c r="I96" s="87"/>
      <c r="J96" s="87"/>
    </row>
    <row r="97" spans="1:10" ht="18" customHeight="1" x14ac:dyDescent="0.25">
      <c r="A97" s="111" t="s">
        <v>96</v>
      </c>
      <c r="B97" s="112" t="s">
        <v>103</v>
      </c>
      <c r="C97" s="111" t="s">
        <v>112</v>
      </c>
      <c r="D97" s="113" t="s">
        <v>104</v>
      </c>
      <c r="E97" s="112" t="s">
        <v>30</v>
      </c>
      <c r="F97" s="111" t="s">
        <v>31</v>
      </c>
      <c r="G97" s="111" t="s">
        <v>31</v>
      </c>
      <c r="H97" s="111" t="s">
        <v>31</v>
      </c>
      <c r="I97" s="116" t="s">
        <v>63</v>
      </c>
      <c r="J97" s="115" t="s">
        <v>56</v>
      </c>
    </row>
    <row r="98" spans="1:10" ht="15" customHeight="1" x14ac:dyDescent="0.25">
      <c r="A98" s="83" t="s">
        <v>96</v>
      </c>
      <c r="B98" s="88" t="s">
        <v>231</v>
      </c>
      <c r="C98" s="89" t="s">
        <v>117</v>
      </c>
      <c r="D98" s="90" t="s">
        <v>228</v>
      </c>
      <c r="E98" s="87"/>
      <c r="F98" s="87"/>
      <c r="G98" s="87"/>
      <c r="H98" s="87"/>
      <c r="I98" s="87"/>
      <c r="J98" s="87"/>
    </row>
    <row r="99" spans="1:10" ht="18" customHeight="1" x14ac:dyDescent="0.25">
      <c r="A99" s="111" t="s">
        <v>96</v>
      </c>
      <c r="B99" s="112" t="s">
        <v>105</v>
      </c>
      <c r="C99" s="111" t="s">
        <v>112</v>
      </c>
      <c r="D99" s="113" t="s">
        <v>106</v>
      </c>
      <c r="E99" s="112" t="s">
        <v>30</v>
      </c>
      <c r="F99" s="111" t="s">
        <v>31</v>
      </c>
      <c r="G99" s="111" t="s">
        <v>31</v>
      </c>
      <c r="H99" s="111" t="s">
        <v>31</v>
      </c>
      <c r="I99" s="114" t="s">
        <v>43</v>
      </c>
      <c r="J99" s="115" t="s">
        <v>56</v>
      </c>
    </row>
    <row r="100" spans="1:10" ht="15" customHeight="1" x14ac:dyDescent="0.25">
      <c r="A100" s="83" t="s">
        <v>96</v>
      </c>
      <c r="B100" s="84" t="s">
        <v>232</v>
      </c>
      <c r="C100" s="85" t="s">
        <v>114</v>
      </c>
      <c r="D100" s="86" t="s">
        <v>233</v>
      </c>
      <c r="E100" s="87"/>
      <c r="F100" s="87"/>
      <c r="G100" s="87"/>
      <c r="H100" s="87"/>
      <c r="I100" s="87"/>
      <c r="J100" s="87"/>
    </row>
    <row r="101" spans="1:10" ht="15" customHeight="1" x14ac:dyDescent="0.25">
      <c r="A101" s="83" t="s">
        <v>96</v>
      </c>
      <c r="B101" s="88" t="s">
        <v>234</v>
      </c>
      <c r="C101" s="89" t="s">
        <v>117</v>
      </c>
      <c r="D101" s="90" t="s">
        <v>235</v>
      </c>
      <c r="E101" s="87"/>
      <c r="F101" s="87"/>
      <c r="G101" s="87"/>
      <c r="H101" s="87"/>
      <c r="I101" s="87"/>
      <c r="J101" s="87"/>
    </row>
  </sheetData>
  <mergeCells count="6">
    <mergeCell ref="A88:J88"/>
    <mergeCell ref="A1:J1"/>
    <mergeCell ref="A3:J3"/>
    <mergeCell ref="A23:J23"/>
    <mergeCell ref="A44:J44"/>
    <mergeCell ref="A63:J6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showGridLines="0" zoomScaleNormal="100" workbookViewId="0">
      <selection sqref="A1:K1"/>
    </sheetView>
  </sheetViews>
  <sheetFormatPr baseColWidth="10" defaultColWidth="8.7109375" defaultRowHeight="15" x14ac:dyDescent="0.25"/>
  <cols>
    <col min="1" max="1" width="15" customWidth="1"/>
    <col min="2" max="2" width="11" customWidth="1"/>
    <col min="3" max="4" width="10" customWidth="1"/>
    <col min="5" max="5" width="9" customWidth="1"/>
    <col min="6" max="6" width="11" customWidth="1"/>
    <col min="7" max="8" width="9" customWidth="1"/>
    <col min="9" max="11" width="8" customWidth="1"/>
  </cols>
  <sheetData>
    <row r="1" spans="1:11" ht="25.5" customHeight="1" x14ac:dyDescent="0.25">
      <c r="A1" s="122" t="s">
        <v>236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</row>
    <row r="3" spans="1:11" ht="27.75" customHeight="1" x14ac:dyDescent="0.25">
      <c r="A3" s="46" t="s">
        <v>18</v>
      </c>
      <c r="B3" s="46" t="s">
        <v>237</v>
      </c>
      <c r="C3" s="46" t="s">
        <v>114</v>
      </c>
      <c r="D3" s="46" t="s">
        <v>117</v>
      </c>
      <c r="E3" s="46" t="s">
        <v>21</v>
      </c>
      <c r="F3" s="46" t="s">
        <v>22</v>
      </c>
      <c r="G3" s="46" t="s">
        <v>238</v>
      </c>
      <c r="H3" s="46" t="s">
        <v>24</v>
      </c>
      <c r="I3" s="46" t="s">
        <v>239</v>
      </c>
      <c r="J3" s="46" t="s">
        <v>240</v>
      </c>
      <c r="K3" s="46" t="s">
        <v>241</v>
      </c>
    </row>
    <row r="4" spans="1:11" ht="18" customHeight="1" x14ac:dyDescent="0.25">
      <c r="A4" s="47" t="s">
        <v>27</v>
      </c>
      <c r="B4" s="48">
        <f>COUNTIFS('Matriz RF'!$A$3:$A$101,"USUARIOS",'Matriz RF'!$C$3:$C$101,"Principal")</f>
        <v>7</v>
      </c>
      <c r="C4" s="48">
        <f>COUNTIFS('Matriz RF'!$A$3:$A$101,"USUARIOS",'Matriz RF'!$C$3:$C$101,"INCLUDE")</f>
        <v>8</v>
      </c>
      <c r="D4" s="48">
        <f>COUNTIFS('Matriz RF'!$A$3:$A$101,"USUARIOS",'Matriz RF'!$C$3:$C$101,"EXTEND")</f>
        <v>4</v>
      </c>
      <c r="E4" s="48">
        <f>COUNTIFS('Matriz RF'!$A$3:$A$101,"USUARIOS",'Matriz RF'!$C$3:$C$101,"Principal",'Matriz RF'!$E$3:$E$101,"✓")</f>
        <v>7</v>
      </c>
      <c r="F4" s="48">
        <f>COUNTIFS('Matriz RF'!$A$3:$A$101,"USUARIOS",'Matriz RF'!$C$3:$C$101,"Principal",'Matriz RF'!$F$3:$F$101,"✓")</f>
        <v>4</v>
      </c>
      <c r="G4" s="48">
        <f>COUNTIFS('Matriz RF'!$A$3:$A$101,"USUARIOS",'Matriz RF'!$C$3:$C$101,"Principal",'Matriz RF'!$G$3:$G$101,"✓")</f>
        <v>4</v>
      </c>
      <c r="H4" s="48">
        <f>COUNTIFS('Matriz RF'!$A$3:$A$101,"USUARIOS",'Matriz RF'!$C$3:$C$101,"Principal",'Matriz RF'!$H$3:$H$101,"✓")</f>
        <v>0</v>
      </c>
      <c r="I4" s="48">
        <f>COUNTIFS('Matriz RF'!$A$3:$A$101,"USUARIOS",'Matriz RF'!$C$3:$C$101,"Principal",'Matriz RF'!$I$3:$I$101,"Alta")</f>
        <v>5</v>
      </c>
      <c r="J4" s="48">
        <f>COUNTIFS('Matriz RF'!$A$3:$A$101,"USUARIOS",'Matriz RF'!$C$3:$C$101,"Principal",'Matriz RF'!$I$3:$I$101,"Media")</f>
        <v>2</v>
      </c>
      <c r="K4" s="48">
        <f>COUNTIFS('Matriz RF'!$A$3:$A$101,"USUARIOS",'Matriz RF'!$C$3:$C$101,"Principal",'Matriz RF'!$I$3:$I$101,"Baja")</f>
        <v>0</v>
      </c>
    </row>
    <row r="5" spans="1:11" ht="18" customHeight="1" x14ac:dyDescent="0.25">
      <c r="A5" s="49" t="s">
        <v>50</v>
      </c>
      <c r="B5" s="50">
        <f>COUNTIFS('Matriz RF'!$A$3:$A$101,"INVENTARIO",'Matriz RF'!$C$3:$C$101,"Principal")</f>
        <v>6</v>
      </c>
      <c r="C5" s="50">
        <f>COUNTIFS('Matriz RF'!$A$3:$A$101,"INVENTARIO",'Matriz RF'!$C$3:$C$101,"INCLUDE")</f>
        <v>12</v>
      </c>
      <c r="D5" s="50">
        <f>COUNTIFS('Matriz RF'!$A$3:$A$101,"INVENTARIO",'Matriz RF'!$C$3:$C$101,"EXTEND")</f>
        <v>2</v>
      </c>
      <c r="E5" s="50">
        <f>COUNTIFS('Matriz RF'!$A$3:$A$101,"INVENTARIO",'Matriz RF'!$C$3:$C$101,"Principal",'Matriz RF'!$E$3:$E$101,"✓")</f>
        <v>6</v>
      </c>
      <c r="F5" s="50">
        <f>COUNTIFS('Matriz RF'!$A$3:$A$101,"INVENTARIO",'Matriz RF'!$C$3:$C$101,"Principal",'Matriz RF'!$F$3:$F$101,"✓")</f>
        <v>3</v>
      </c>
      <c r="G5" s="50">
        <f>COUNTIFS('Matriz RF'!$A$3:$A$101,"INVENTARIO",'Matriz RF'!$C$3:$C$101,"Principal",'Matriz RF'!$G$3:$G$101,"✓")</f>
        <v>0</v>
      </c>
      <c r="H5" s="50">
        <f>COUNTIFS('Matriz RF'!$A$3:$A$101,"INVENTARIO",'Matriz RF'!$C$3:$C$101,"Principal",'Matriz RF'!$H$3:$H$101,"✓")</f>
        <v>0</v>
      </c>
      <c r="I5" s="50">
        <f>COUNTIFS('Matriz RF'!$A$3:$A$101,"INVENTARIO",'Matriz RF'!$C$3:$C$101,"Principal",'Matriz RF'!$I$3:$I$101,"Alta")</f>
        <v>4</v>
      </c>
      <c r="J5" s="50">
        <f>COUNTIFS('Matriz RF'!$A$3:$A$101,"INVENTARIO",'Matriz RF'!$C$3:$C$101,"Principal",'Matriz RF'!$I$3:$I$101,"Media")</f>
        <v>1</v>
      </c>
      <c r="K5" s="50">
        <f>COUNTIFS('Matriz RF'!$A$3:$A$101,"INVENTARIO",'Matriz RF'!$C$3:$C$101,"Principal",'Matriz RF'!$I$3:$I$101,"Baja")</f>
        <v>1</v>
      </c>
    </row>
    <row r="6" spans="1:11" ht="18" customHeight="1" x14ac:dyDescent="0.25">
      <c r="A6" s="51" t="s">
        <v>66</v>
      </c>
      <c r="B6" s="52">
        <f>COUNTIFS('Matriz RF'!$A$3:$A$101,"VENTAS",'Matriz RF'!$C$3:$C$101,"Principal")</f>
        <v>5</v>
      </c>
      <c r="C6" s="52">
        <f>COUNTIFS('Matriz RF'!$A$3:$A$101,"VENTAS",'Matriz RF'!$C$3:$C$101,"INCLUDE")</f>
        <v>10</v>
      </c>
      <c r="D6" s="52">
        <f>COUNTIFS('Matriz RF'!$A$3:$A$101,"VENTAS",'Matriz RF'!$C$3:$C$101,"EXTEND")</f>
        <v>3</v>
      </c>
      <c r="E6" s="52">
        <f>COUNTIFS('Matriz RF'!$A$3:$A$101,"VENTAS",'Matriz RF'!$C$3:$C$101,"Principal",'Matriz RF'!$E$3:$E$101,"✓")</f>
        <v>5</v>
      </c>
      <c r="F6" s="52">
        <f>COUNTIFS('Matriz RF'!$A$3:$A$101,"VENTAS",'Matriz RF'!$C$3:$C$101,"Principal",'Matriz RF'!$F$3:$F$101,"✓")</f>
        <v>3</v>
      </c>
      <c r="G6" s="52">
        <f>COUNTIFS('Matriz RF'!$A$3:$A$101,"VENTAS",'Matriz RF'!$C$3:$C$101,"Principal",'Matriz RF'!$G$3:$G$101,"✓")</f>
        <v>0</v>
      </c>
      <c r="H6" s="52">
        <f>COUNTIFS('Matriz RF'!$A$3:$A$101,"VENTAS",'Matriz RF'!$C$3:$C$101,"Principal",'Matriz RF'!$H$3:$H$101,"✓")</f>
        <v>0</v>
      </c>
      <c r="I6" s="52">
        <f>COUNTIFS('Matriz RF'!$A$3:$A$101,"VENTAS",'Matriz RF'!$C$3:$C$101,"Principal",'Matriz RF'!$I$3:$I$101,"Alta")</f>
        <v>3</v>
      </c>
      <c r="J6" s="52">
        <f>COUNTIFS('Matriz RF'!$A$3:$A$101,"VENTAS",'Matriz RF'!$C$3:$C$101,"Principal",'Matriz RF'!$I$3:$I$101,"Media")</f>
        <v>2</v>
      </c>
      <c r="K6" s="52">
        <f>COUNTIFS('Matriz RF'!$A$3:$A$101,"VENTAS",'Matriz RF'!$C$3:$C$101,"Principal",'Matriz RF'!$I$3:$I$101,"Baja")</f>
        <v>0</v>
      </c>
    </row>
    <row r="7" spans="1:11" ht="18" customHeight="1" x14ac:dyDescent="0.25">
      <c r="A7" s="53" t="s">
        <v>79</v>
      </c>
      <c r="B7" s="54">
        <f>COUNTIFS('Matriz RF'!$A$3:$A$101,"DOMICILIOS",'Matriz RF'!$C$3:$C$101,"Principal")</f>
        <v>7</v>
      </c>
      <c r="C7" s="54">
        <f>COUNTIFS('Matriz RF'!$A$3:$A$101,"DOMICILIOS",'Matriz RF'!$C$3:$C$101,"INCLUDE")</f>
        <v>9</v>
      </c>
      <c r="D7" s="54">
        <f>COUNTIFS('Matriz RF'!$A$3:$A$101,"DOMICILIOS",'Matriz RF'!$C$3:$C$101,"EXTEND")</f>
        <v>8</v>
      </c>
      <c r="E7" s="54">
        <f>COUNTIFS('Matriz RF'!$A$3:$A$101,"DOMICILIOS",'Matriz RF'!$C$3:$C$101,"Principal",'Matriz RF'!$E$3:$E$101,"✓")</f>
        <v>7</v>
      </c>
      <c r="F7" s="54">
        <f>COUNTIFS('Matriz RF'!$A$3:$A$101,"DOMICILIOS",'Matriz RF'!$C$3:$C$101,"Principal",'Matriz RF'!$F$3:$F$101,"✓")</f>
        <v>0</v>
      </c>
      <c r="G7" s="54">
        <f>COUNTIFS('Matriz RF'!$A$3:$A$101,"DOMICILIOS",'Matriz RF'!$C$3:$C$101,"Principal",'Matriz RF'!$G$3:$G$101,"✓")</f>
        <v>1</v>
      </c>
      <c r="H7" s="54">
        <f>COUNTIFS('Matriz RF'!$A$3:$A$101,"DOMICILIOS",'Matriz RF'!$C$3:$C$101,"Principal",'Matriz RF'!$H$3:$H$101,"✓")</f>
        <v>3</v>
      </c>
      <c r="I7" s="54">
        <f>COUNTIFS('Matriz RF'!$A$3:$A$101,"DOMICILIOS",'Matriz RF'!$C$3:$C$101,"Principal",'Matriz RF'!$I$3:$I$101,"Alta")</f>
        <v>6</v>
      </c>
      <c r="J7" s="54">
        <f>COUNTIFS('Matriz RF'!$A$3:$A$101,"DOMICILIOS",'Matriz RF'!$C$3:$C$101,"Principal",'Matriz RF'!$I$3:$I$101,"Media")</f>
        <v>1</v>
      </c>
      <c r="K7" s="54">
        <f>COUNTIFS('Matriz RF'!$A$3:$A$101,"DOMICILIOS",'Matriz RF'!$C$3:$C$101,"Principal",'Matriz RF'!$I$3:$I$101,"Baja")</f>
        <v>0</v>
      </c>
    </row>
    <row r="8" spans="1:11" ht="18" customHeight="1" x14ac:dyDescent="0.25">
      <c r="A8" s="55" t="s">
        <v>96</v>
      </c>
      <c r="B8" s="56">
        <f>COUNTIFS('Matriz RF'!$A$3:$A$101,"REPORTES",'Matriz RF'!$C$3:$C$101,"Principal")</f>
        <v>5</v>
      </c>
      <c r="C8" s="56">
        <f>COUNTIFS('Matriz RF'!$A$3:$A$101,"REPORTES",'Matriz RF'!$C$3:$C$101,"INCLUDE")</f>
        <v>5</v>
      </c>
      <c r="D8" s="56">
        <f>COUNTIFS('Matriz RF'!$A$3:$A$101,"REPORTES",'Matriz RF'!$C$3:$C$101,"EXTEND")</f>
        <v>3</v>
      </c>
      <c r="E8" s="56">
        <f>COUNTIFS('Matriz RF'!$A$3:$A$101,"REPORTES",'Matriz RF'!$C$3:$C$101,"Principal",'Matriz RF'!$E$3:$E$101,"✓")</f>
        <v>5</v>
      </c>
      <c r="F8" s="56">
        <f>COUNTIFS('Matriz RF'!$A$3:$A$101,"REPORTES",'Matriz RF'!$C$3:$C$101,"Principal",'Matriz RF'!$F$3:$F$101,"✓")</f>
        <v>2</v>
      </c>
      <c r="G8" s="56">
        <f>COUNTIFS('Matriz RF'!$A$3:$A$101,"REPORTES",'Matriz RF'!$C$3:$C$101,"Principal",'Matriz RF'!$G$3:$G$101,"✓")</f>
        <v>0</v>
      </c>
      <c r="H8" s="56">
        <f>COUNTIFS('Matriz RF'!$A$3:$A$101,"REPORTES",'Matriz RF'!$C$3:$C$101,"Principal",'Matriz RF'!$H$3:$H$101,"✓")</f>
        <v>0</v>
      </c>
      <c r="I8" s="56">
        <f>COUNTIFS('Matriz RF'!$A$3:$A$101,"REPORTES",'Matriz RF'!$C$3:$C$101,"Principal",'Matriz RF'!$I$3:$I$101,"Alta")</f>
        <v>0</v>
      </c>
      <c r="J8" s="56">
        <f>COUNTIFS('Matriz RF'!$A$3:$A$101,"REPORTES",'Matriz RF'!$C$3:$C$101,"Principal",'Matriz RF'!$I$3:$I$101,"Media")</f>
        <v>3</v>
      </c>
      <c r="K8" s="56">
        <f>COUNTIFS('Matriz RF'!$A$3:$A$101,"REPORTES",'Matriz RF'!$C$3:$C$101,"Principal",'Matriz RF'!$I$3:$I$101,"Baja")</f>
        <v>2</v>
      </c>
    </row>
    <row r="9" spans="1:11" ht="19.5" customHeight="1" x14ac:dyDescent="0.25">
      <c r="A9" s="47" t="s">
        <v>242</v>
      </c>
      <c r="B9" s="57">
        <f t="shared" ref="B9:K9" si="0">SUM(B4:B8)</f>
        <v>30</v>
      </c>
      <c r="C9" s="57">
        <f t="shared" si="0"/>
        <v>44</v>
      </c>
      <c r="D9" s="57">
        <f t="shared" si="0"/>
        <v>20</v>
      </c>
      <c r="E9" s="57">
        <f t="shared" si="0"/>
        <v>30</v>
      </c>
      <c r="F9" s="57">
        <f t="shared" si="0"/>
        <v>12</v>
      </c>
      <c r="G9" s="57">
        <f t="shared" si="0"/>
        <v>5</v>
      </c>
      <c r="H9" s="57">
        <f t="shared" si="0"/>
        <v>3</v>
      </c>
      <c r="I9" s="57">
        <f t="shared" si="0"/>
        <v>18</v>
      </c>
      <c r="J9" s="57">
        <f t="shared" si="0"/>
        <v>9</v>
      </c>
      <c r="K9" s="57">
        <f t="shared" si="0"/>
        <v>3</v>
      </c>
    </row>
    <row r="11" spans="1:11" x14ac:dyDescent="0.25">
      <c r="A11" s="58" t="s">
        <v>243</v>
      </c>
    </row>
    <row r="12" spans="1:11" x14ac:dyDescent="0.25">
      <c r="A12" s="1" t="s">
        <v>32</v>
      </c>
      <c r="B12" s="129" t="s">
        <v>244</v>
      </c>
      <c r="C12" s="129"/>
      <c r="D12" s="129"/>
      <c r="E12" s="129"/>
    </row>
    <row r="13" spans="1:11" x14ac:dyDescent="0.25">
      <c r="A13" s="59" t="s">
        <v>43</v>
      </c>
      <c r="B13" s="129" t="s">
        <v>245</v>
      </c>
      <c r="C13" s="129"/>
      <c r="D13" s="129"/>
      <c r="E13" s="129"/>
    </row>
    <row r="14" spans="1:11" x14ac:dyDescent="0.25">
      <c r="A14" s="60" t="s">
        <v>63</v>
      </c>
      <c r="B14" s="129" t="s">
        <v>246</v>
      </c>
      <c r="C14" s="129"/>
      <c r="D14" s="129"/>
      <c r="E14" s="129"/>
    </row>
  </sheetData>
  <mergeCells count="4">
    <mergeCell ref="A1:K1"/>
    <mergeCell ref="B12:E12"/>
    <mergeCell ref="B13:E13"/>
    <mergeCell ref="B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showGridLines="0" tabSelected="1" zoomScaleNormal="100" workbookViewId="0">
      <selection activeCell="L5" sqref="L5"/>
    </sheetView>
  </sheetViews>
  <sheetFormatPr baseColWidth="10" defaultColWidth="8.7109375" defaultRowHeight="15" x14ac:dyDescent="0.25"/>
  <cols>
    <col min="1" max="1" width="12" customWidth="1"/>
    <col min="2" max="2" width="22" customWidth="1"/>
    <col min="3" max="3" width="75" customWidth="1"/>
    <col min="4" max="4" width="12" customWidth="1"/>
  </cols>
  <sheetData>
    <row r="1" spans="1:4" ht="25.5" customHeight="1" x14ac:dyDescent="0.25">
      <c r="A1" s="122" t="s">
        <v>247</v>
      </c>
      <c r="B1" s="122"/>
      <c r="C1" s="122"/>
      <c r="D1" s="122"/>
    </row>
    <row r="2" spans="1:4" ht="21.75" customHeight="1" x14ac:dyDescent="0.25">
      <c r="A2" s="76" t="s">
        <v>19</v>
      </c>
      <c r="B2" s="76" t="s">
        <v>248</v>
      </c>
      <c r="C2" s="76" t="s">
        <v>249</v>
      </c>
      <c r="D2" s="76" t="s">
        <v>25</v>
      </c>
    </row>
    <row r="3" spans="1:4" ht="42.75" customHeight="1" x14ac:dyDescent="0.25">
      <c r="A3" s="61" t="s">
        <v>250</v>
      </c>
      <c r="B3" s="118" t="s">
        <v>251</v>
      </c>
      <c r="C3" s="119" t="s">
        <v>252</v>
      </c>
      <c r="D3" s="62" t="s">
        <v>32</v>
      </c>
    </row>
    <row r="4" spans="1:4" ht="53.25" customHeight="1" x14ac:dyDescent="0.25">
      <c r="A4" s="39" t="s">
        <v>253</v>
      </c>
      <c r="B4" s="120" t="s">
        <v>254</v>
      </c>
      <c r="C4" s="121" t="s">
        <v>255</v>
      </c>
      <c r="D4" s="63" t="s">
        <v>32</v>
      </c>
    </row>
    <row r="5" spans="1:4" ht="39.75" customHeight="1" x14ac:dyDescent="0.25">
      <c r="A5" s="61" t="s">
        <v>256</v>
      </c>
      <c r="B5" s="118" t="s">
        <v>257</v>
      </c>
      <c r="C5" s="119" t="s">
        <v>258</v>
      </c>
      <c r="D5" s="62" t="s">
        <v>32</v>
      </c>
    </row>
    <row r="6" spans="1:4" ht="45.75" customHeight="1" x14ac:dyDescent="0.25">
      <c r="A6" s="39" t="s">
        <v>259</v>
      </c>
      <c r="B6" s="120" t="s">
        <v>260</v>
      </c>
      <c r="C6" s="121" t="s">
        <v>261</v>
      </c>
      <c r="D6" s="63" t="s">
        <v>32</v>
      </c>
    </row>
    <row r="7" spans="1:4" ht="34.5" customHeight="1" x14ac:dyDescent="0.25">
      <c r="A7" s="61" t="s">
        <v>262</v>
      </c>
      <c r="B7" s="118" t="s">
        <v>263</v>
      </c>
      <c r="C7" s="119" t="s">
        <v>264</v>
      </c>
      <c r="D7" s="62" t="s">
        <v>32</v>
      </c>
    </row>
    <row r="8" spans="1:4" ht="37.5" customHeight="1" x14ac:dyDescent="0.25">
      <c r="A8" s="39" t="s">
        <v>265</v>
      </c>
      <c r="B8" s="120" t="s">
        <v>266</v>
      </c>
      <c r="C8" s="121" t="s">
        <v>267</v>
      </c>
      <c r="D8" s="42" t="s">
        <v>43</v>
      </c>
    </row>
    <row r="9" spans="1:4" ht="46.5" customHeight="1" x14ac:dyDescent="0.25">
      <c r="A9" s="61" t="s">
        <v>268</v>
      </c>
      <c r="B9" s="118" t="s">
        <v>269</v>
      </c>
      <c r="C9" s="119" t="s">
        <v>270</v>
      </c>
      <c r="D9" s="62" t="s">
        <v>32</v>
      </c>
    </row>
    <row r="10" spans="1:4" ht="37.5" customHeight="1" x14ac:dyDescent="0.25">
      <c r="A10" s="39" t="s">
        <v>271</v>
      </c>
      <c r="B10" s="120" t="s">
        <v>272</v>
      </c>
      <c r="C10" s="121" t="s">
        <v>273</v>
      </c>
      <c r="D10" s="42" t="s">
        <v>43</v>
      </c>
    </row>
    <row r="11" spans="1:4" ht="39" customHeight="1" x14ac:dyDescent="0.25">
      <c r="A11" s="61" t="s">
        <v>274</v>
      </c>
      <c r="B11" s="118" t="s">
        <v>275</v>
      </c>
      <c r="C11" s="119" t="s">
        <v>276</v>
      </c>
      <c r="D11" s="64" t="s">
        <v>43</v>
      </c>
    </row>
    <row r="12" spans="1:4" ht="49.5" customHeight="1" x14ac:dyDescent="0.25">
      <c r="A12" s="39" t="s">
        <v>277</v>
      </c>
      <c r="B12" s="120" t="s">
        <v>278</v>
      </c>
      <c r="C12" s="121" t="s">
        <v>279</v>
      </c>
      <c r="D12" s="42" t="s">
        <v>43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Accesos por Rol</vt:lpstr>
      <vt:lpstr>Matriz RF</vt:lpstr>
      <vt:lpstr>Resumen por Módulo</vt:lpstr>
      <vt:lpstr>RNF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Andrew Torres</cp:lastModifiedBy>
  <cp:revision>0</cp:revision>
  <dcterms:created xsi:type="dcterms:W3CDTF">2026-06-21T14:35:35Z</dcterms:created>
  <dcterms:modified xsi:type="dcterms:W3CDTF">2026-06-23T20:28:38Z</dcterms:modified>
  <dc:language>en-US</dc:language>
</cp:coreProperties>
</file>