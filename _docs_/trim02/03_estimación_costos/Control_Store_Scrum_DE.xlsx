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ryan\Downloads\"/>
    </mc:Choice>
  </mc:AlternateContent>
  <xr:revisionPtr revIDLastSave="0" documentId="8_{BD70928F-1562-4F6B-9764-AF5868C1BF04}" xr6:coauthVersionLast="47" xr6:coauthVersionMax="47" xr10:uidLastSave="{00000000-0000-0000-0000-000000000000}"/>
  <bookViews>
    <workbookView xWindow="-120" yWindow="-120" windowWidth="20730" windowHeight="11040" tabRatio="500" firstSheet="8" activeTab="8" xr2:uid="{00000000-000D-0000-FFFF-FFFF00000000}"/>
  </bookViews>
  <sheets>
    <sheet name="PRESUPUESTO REAL" sheetId="1" r:id="rId1"/>
    <sheet name="DIAGRAMA DE GANTT" sheetId="2" r:id="rId2"/>
    <sheet name="EQUIPOS DE CÓMPUTO" sheetId="3" r:id="rId3"/>
    <sheet name="SERVIDORES" sheetId="4" r:id="rId4"/>
    <sheet name="RECURSOS HUMANOS" sheetId="5" r:id="rId5"/>
    <sheet name="DISTRIBUCIÓN TAREAS" sheetId="6" r:id="rId6"/>
    <sheet name="ÉPICAS" sheetId="7" r:id="rId7"/>
    <sheet name="SCRUM TEAM" sheetId="8" r:id="rId8"/>
    <sheet name="GANTT SCRUM" sheetId="9" r:id="rId9"/>
    <sheet name="PRODUCT BACKLOG" sheetId="10" r:id="rId10"/>
    <sheet name="SCRUM BOARD" sheetId="11" r:id="rId11"/>
    <sheet name="VELOCITY &amp; BURNDOWN" sheetId="12" r:id="rId12"/>
    <sheet name="CONTRATO CLIENTE"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12" l="1"/>
  <c r="E10" i="12" s="1"/>
  <c r="C10" i="12"/>
  <c r="E9" i="12"/>
  <c r="E8" i="12"/>
  <c r="E7" i="12"/>
  <c r="E6" i="12"/>
  <c r="E5" i="12"/>
  <c r="E4" i="12"/>
  <c r="F15" i="8"/>
  <c r="E15" i="8"/>
  <c r="D15" i="8"/>
  <c r="F14" i="8"/>
  <c r="F13" i="8"/>
  <c r="F12" i="8"/>
  <c r="F50" i="1"/>
  <c r="F49" i="1"/>
  <c r="F48" i="1"/>
  <c r="E38" i="1"/>
  <c r="E33" i="1"/>
  <c r="E40" i="1" l="1"/>
  <c r="E42" i="1" l="1"/>
  <c r="E41" i="1"/>
  <c r="E43" i="1"/>
  <c r="E51" i="1" s="1"/>
  <c r="F51" i="1" s="1"/>
</calcChain>
</file>

<file path=xl/sharedStrings.xml><?xml version="1.0" encoding="utf-8"?>
<sst xmlns="http://schemas.openxmlformats.org/spreadsheetml/2006/main" count="2764" uniqueCount="1081">
  <si>
    <t xml:space="preserve">  Control Store — Aleyual  |  Presupuesto Real  |  El equipo lo construye</t>
  </si>
  <si>
    <t xml:space="preserve">  3 integrantes juniors · 1 Jul – 18 Dic 2026 (116 días hábiles · 5.6 meses) · Stack gratuito</t>
  </si>
  <si>
    <t>EQUIPO CONTROL STORE — Integrantes que desarrollan el sistema</t>
  </si>
  <si>
    <t>BT</t>
  </si>
  <si>
    <t>Brayan Torres</t>
  </si>
  <si>
    <t>Líder técnico · Frontend web (Blade + Bootstrap) · API REST · Despliegue</t>
  </si>
  <si>
    <t>DO</t>
  </si>
  <si>
    <t>David Ortegón</t>
  </si>
  <si>
    <t>Base de Datos · Backend · Seguridad · Documentación ISO</t>
  </si>
  <si>
    <t>SV</t>
  </si>
  <si>
    <t>Stiven Vargas</t>
  </si>
  <si>
    <t>UI/UX · Prototipo · App Móvil · Pruebas · SCV</t>
  </si>
  <si>
    <t xml:space="preserve">  DESGLOSE DE COSTOS</t>
  </si>
  <si>
    <t>#</t>
  </si>
  <si>
    <t>CATEGORÍA / CONCEPTO</t>
  </si>
  <si>
    <t>Cantidad</t>
  </si>
  <si>
    <t>Valor unitario</t>
  </si>
  <si>
    <t>Total</t>
  </si>
  <si>
    <t>Nota</t>
  </si>
  <si>
    <t>I</t>
  </si>
  <si>
    <t>RECURSOS HUMANOS</t>
  </si>
  <si>
    <t>1.1</t>
  </si>
  <si>
    <t>Brayan Alexander Torres Peña — 116 días hábiles</t>
  </si>
  <si>
    <t>116 días</t>
  </si>
  <si>
    <t>Líder + frontend/API + deploy</t>
  </si>
  <si>
    <t>1.2</t>
  </si>
  <si>
    <t>David Ortegón — 116 días hábiles</t>
  </si>
  <si>
    <t>Backend + BD + seguridad + ISO</t>
  </si>
  <si>
    <t>1.3</t>
  </si>
  <si>
    <t>Stiven Vargas — 116 días hábiles</t>
  </si>
  <si>
    <t>UI/UX + móvil + pruebas + SCV</t>
  </si>
  <si>
    <t>SUBTOTAL RRHH</t>
  </si>
  <si>
    <t>$66,667/día × 116 días × 3 personas</t>
  </si>
  <si>
    <t>II</t>
  </si>
  <si>
    <t>TECNOLOGÍA</t>
  </si>
  <si>
    <t>2.1</t>
  </si>
  <si>
    <t>Hosting web (Laravel + Blade) — Railway</t>
  </si>
  <si>
    <t>6 meses</t>
  </si>
  <si>
    <t>GRATIS</t>
  </si>
  <si>
    <t>$0</t>
  </si>
  <si>
    <t>Gratis. Uso comercial permitido, sin pausa</t>
  </si>
  <si>
    <t>2.2</t>
  </si>
  <si>
    <t>Hosting API REST (Laravel) — Railway</t>
  </si>
  <si>
    <t>Gratis. Se duerme tras 15 min sin tráfico</t>
  </si>
  <si>
    <t>2.3</t>
  </si>
  <si>
    <t>Base de datos - MySQL 8</t>
  </si>
  <si>
    <t>Gratis. Uso comercial permitido, 500 MB</t>
  </si>
  <si>
    <t>2.4</t>
  </si>
  <si>
    <t>Repositorio — GitHub Education</t>
  </si>
  <si>
    <t>Gratis con correo SENA</t>
  </si>
  <si>
    <t>2.5</t>
  </si>
  <si>
    <t>Dominio .com.co — nic.co</t>
  </si>
  <si>
    <t>1 año</t>
  </si>
  <si>
    <t>Registro y renovación anual</t>
  </si>
  <si>
    <t>2.6</t>
  </si>
  <si>
    <t>WhatsApp Business API — Twilio</t>
  </si>
  <si>
    <t>$40.000/mes × 6 meses calendario</t>
  </si>
  <si>
    <t>SUBTOTAL TECNOLOGÍA</t>
  </si>
  <si>
    <t>Solo dominio + WhatsApp API</t>
  </si>
  <si>
    <t>III</t>
  </si>
  <si>
    <t>GASTOS OPERATIVOS</t>
  </si>
  <si>
    <t>3.1</t>
  </si>
  <si>
    <t>Internet — Brayan Alexander Torres Peña</t>
  </si>
  <si>
    <t>$75.000/mes × 6 meses — estimado Bogotá</t>
  </si>
  <si>
    <t>3.2</t>
  </si>
  <si>
    <t>Internet — David Ortegón</t>
  </si>
  <si>
    <t>3.3</t>
  </si>
  <si>
    <t>Internet — Stiven Vargas</t>
  </si>
  <si>
    <t>3.4</t>
  </si>
  <si>
    <t>Luz (aporte) — Brayan Alexander Torres Peña</t>
  </si>
  <si>
    <t>$45.000/mes × 6 meses — estimado Bogotá</t>
  </si>
  <si>
    <t>3.5</t>
  </si>
  <si>
    <t>Luz (aporte) — David Ortegón</t>
  </si>
  <si>
    <t>3.6</t>
  </si>
  <si>
    <t>Luz (aporte) — Stiven Vargas</t>
  </si>
  <si>
    <t>Papelería e impresiones SENA</t>
  </si>
  <si>
    <t>—</t>
  </si>
  <si>
    <t>Actas, informes, entregables</t>
  </si>
  <si>
    <t>Transporte a reuniones presenciales</t>
  </si>
  <si>
    <t>~1 reunión/semana en SENA</t>
  </si>
  <si>
    <t>GitHub Copilot / ChatGPT (apoyo código)</t>
  </si>
  <si>
    <t>Herramienta de productividad</t>
  </si>
  <si>
    <t>SUBTOTAL GASTOS</t>
  </si>
  <si>
    <t>Internet + luz x3 + papelería + transporte + herramientas IA</t>
  </si>
  <si>
    <t>IV</t>
  </si>
  <si>
    <t>DEPRECIACIÓN DE EQUIPOS — por días trabajados</t>
  </si>
  <si>
    <t>4.1</t>
  </si>
  <si>
    <t>Laptop Brayan Alexander Torres Peña — $2.400.000 ÷ 1825d × 116d</t>
  </si>
  <si>
    <t>Vida útil: 5 años (1825 días)</t>
  </si>
  <si>
    <t>4.2</t>
  </si>
  <si>
    <t>Laptop David Ortegón — $2.400.000 ÷ 1825d × 116d</t>
  </si>
  <si>
    <t>4.3</t>
  </si>
  <si>
    <t>Laptop Stiven Vargas — $2.400.000 ÷ 1825d × 116d</t>
  </si>
  <si>
    <t>SUBTOTAL DEPRECIACIÓN</t>
  </si>
  <si>
    <t>Desgaste real del equipo propio durante el proyecto</t>
  </si>
  <si>
    <t>SUBTOTAL BASE (RRHH + Tecnología + Gastos + Depreciación)</t>
  </si>
  <si>
    <t>IMPREVISTOS — 10% (equipo propio, riesgo conocido)</t>
  </si>
  <si>
    <t>GANANCIA</t>
  </si>
  <si>
    <t>15% sobre subtotal base — margen comercial real de venta</t>
  </si>
  <si>
    <t>COSTO TOTAL DEL PROYECTO — CONTROL STORE (1 Jul – 18 Dic 2026)</t>
  </si>
  <si>
    <t xml:space="preserve">  COMPARATIVA DE ESCENARIOS</t>
  </si>
  <si>
    <t>Escenario</t>
  </si>
  <si>
    <t>Costo total</t>
  </si>
  <si>
    <t>% ahorro vs. Trad.</t>
  </si>
  <si>
    <t>A</t>
  </si>
  <si>
    <t>Tradicional — equipo profesional 20 meses</t>
  </si>
  <si>
    <t>B</t>
  </si>
  <si>
    <t>Scrum — equipo profesional 20 meses</t>
  </si>
  <si>
    <t>C</t>
  </si>
  <si>
    <t>Scrum — equipo profesional 6 meses MVP</t>
  </si>
  <si>
    <t>D</t>
  </si>
  <si>
    <t>Scrum — 3 juniors externos 5 meses</t>
  </si>
  <si>
    <t>E</t>
  </si>
  <si>
    <t>CONTROL STORE — equipo real (1 Jul–18 Dic 2026) ←</t>
  </si>
  <si>
    <t>• Vida útil de los equipos: 5 años (1.825 días) — estándar para laptops de uso intensivo en desarrollo de software.</t>
  </si>
  <si>
    <t>• Depreciación = (Valor del equipo ÷ 1.825 días) × Días hábiles trabajados en el proyecto.</t>
  </si>
  <si>
    <t>• Internet y luz son aportes estimados de cada integrante por trabajar desde casa durante el proyecto (Bogotá).</t>
  </si>
  <si>
    <t>• Cada integrante asume su propia afiliación a salud de forma independiente (no incluida en este presupuesto).</t>
  </si>
  <si>
    <t xml:space="preserve">  Control Store — Aleyual  |  Diagrama de Gantt  |  1 Jul 2026 → 18 Dic 2026  (116 días hábiles · 5.6 meses)</t>
  </si>
  <si>
    <t xml:space="preserve">  Brayan Torres · David Ortegón · Stiven Vargas  —  Distribución real e individual por mes</t>
  </si>
  <si>
    <t>■ BT — Brayan Torres     ■ DO — David Ortegón     ■ SV — Stiven Vargas     ▪ Hito     ◆ Reunión (Review + Retro + Cliente)</t>
  </si>
  <si>
    <t>MES</t>
  </si>
  <si>
    <t>ACTIVIDAD</t>
  </si>
  <si>
    <t>RESPONSABLE</t>
  </si>
  <si>
    <t>Días</t>
  </si>
  <si>
    <t>Jul'26
(22d)</t>
  </si>
  <si>
    <t>Ago'26
(19d)</t>
  </si>
  <si>
    <t>Sep'26
(22d)</t>
  </si>
  <si>
    <t>Oct'26
(21d)</t>
  </si>
  <si>
    <t>Nov'26
(19d)</t>
  </si>
  <si>
    <t>Dic'26
(13d)</t>
  </si>
  <si>
    <t>0.0</t>
  </si>
  <si>
    <t>KICKOFF — Planeación general del proyecto</t>
  </si>
  <si>
    <t>Todos</t>
  </si>
  <si>
    <t>▪</t>
  </si>
  <si>
    <t>Análisis de requerimientos, diagrama de procesos y casos de uso</t>
  </si>
  <si>
    <t>Brayan T.</t>
  </si>
  <si>
    <t>█</t>
  </si>
  <si>
    <t>Modelo de datos preliminar (Crows Foot) y diccionario de datos</t>
  </si>
  <si>
    <t>David O.</t>
  </si>
  <si>
    <t>Wireframes, prototipo en Figma y plan de pruebas</t>
  </si>
  <si>
    <t>Stiven V.</t>
  </si>
  <si>
    <t>R.1</t>
  </si>
  <si>
    <t>Reunión Sprint Review + Retro + Cliente — Cierre Módulo 1 (Jul)</t>
  </si>
  <si>
    <t>◆</t>
  </si>
  <si>
    <t>Diagrama de clases UML y configuración del repositorio Git</t>
  </si>
  <si>
    <t>Normalización 3FN, diccionario final y script DDL</t>
  </si>
  <si>
    <t>Prototipo navegable HTML/CSS y definición de casos de prueba</t>
  </si>
  <si>
    <t>R.2</t>
  </si>
  <si>
    <t>Reunión Sprint Review + Retro + Cliente — Cierre Módulo 2 (Ago)</t>
  </si>
  <si>
    <t>Frontend base en Blade + Bootstrap y configuración de rutas</t>
  </si>
  <si>
    <t>Script DML, autenticación con Laravel Sanctum y seguridad con bcrypt</t>
  </si>
  <si>
    <t>Diseño de componentes UI y configuración de pruebas unitarias</t>
  </si>
  <si>
    <t>R.3</t>
  </si>
  <si>
    <t>Reunión Sprint Review + Retro + Cliente — Cierre Módulo 3 (Sep)</t>
  </si>
  <si>
    <t>Desarrollo módulo de Inventario (frontend + API)</t>
  </si>
  <si>
    <t>Desarrollo módulos de Ventas y Caja (backend + BD)</t>
  </si>
  <si>
    <t>Integración frontend de Ventas/Caja y pruebas funcionales</t>
  </si>
  <si>
    <t>R.4</t>
  </si>
  <si>
    <t>Reunión Sprint Review + Retro + Cliente — Cierre Módulo 4 (Oct)</t>
  </si>
  <si>
    <t>5.1</t>
  </si>
  <si>
    <t>Dashboard administrativo e integración completa de API REST</t>
  </si>
  <si>
    <t>5.2</t>
  </si>
  <si>
    <t>Módulo de reportes (backend) y optimización de consultas</t>
  </si>
  <si>
    <t>5.3</t>
  </si>
  <si>
    <t>Módulo de reportes (frontend), pruebas de integración y manual de usuario</t>
  </si>
  <si>
    <t>R.5</t>
  </si>
  <si>
    <t>Reunión Sprint Review + Retro + Cliente — Cierre Módulo 5 (Nov)</t>
  </si>
  <si>
    <t>6.2</t>
  </si>
  <si>
    <t>Pruebas de seguridad y documentación técnica ISO/IEC 25010</t>
  </si>
  <si>
    <t>6.3</t>
  </si>
  <si>
    <t>Pruebas finales, manual técnico/usuario y entrega del proyecto</t>
  </si>
  <si>
    <t>R.6</t>
  </si>
  <si>
    <t>Reunión Sprint Review Final + Retrospectiva Final + Cliente — Validación integral</t>
  </si>
  <si>
    <t>6.4</t>
  </si>
  <si>
    <t>ENTREGA FINAL Y CIERRE DEL PROYECTO</t>
  </si>
  <si>
    <t xml:space="preserve">  RESUMEN — DÍAS HÁBILES POR MES</t>
  </si>
  <si>
    <t>Total días hábiles del proyecto</t>
  </si>
  <si>
    <t xml:space="preserve">  Control Store — Aleyual  |  Equipos de Cómputo + Depreciación  |  3 Laptops — Brayan, David y Stiven</t>
  </si>
  <si>
    <t xml:space="preserve">  Equipos YA SON PROPIEDAD de cada integrante. Se incluye depreciación real por uso en el proyecto (116 días).</t>
  </si>
  <si>
    <t xml:space="preserve">  BT — Brayan Torres  |  Líder técnico · Frontend web (Blade + Bootstrap) · API REST · Despliegue</t>
  </si>
  <si>
    <t>COMPONENTE</t>
  </si>
  <si>
    <t>ESPECIFICACIÓN</t>
  </si>
  <si>
    <t>Valor de mercado</t>
  </si>
  <si>
    <t>1</t>
  </si>
  <si>
    <t>Procesador</t>
  </si>
  <si>
    <t>AMD Ryzen 5 5500U (6C/12T · 2.1–4.0 GHz · laptop)</t>
  </si>
  <si>
    <t>2</t>
  </si>
  <si>
    <t>Memoria RAM</t>
  </si>
  <si>
    <t>16 GB DDR4 3200 MHz (dual channel)</t>
  </si>
  <si>
    <t>3</t>
  </si>
  <si>
    <t>Almacenamiento</t>
  </si>
  <si>
    <t>512 GB SSD NVMe</t>
  </si>
  <si>
    <t>4</t>
  </si>
  <si>
    <t>Pantalla</t>
  </si>
  <si>
    <t>15.6" FHD IPS 1920×1080</t>
  </si>
  <si>
    <t>5</t>
  </si>
  <si>
    <t>Batería + chasis + teclado</t>
  </si>
  <si>
    <t>Estructura completa del portátil</t>
  </si>
  <si>
    <t>6</t>
  </si>
  <si>
    <t>Conectividad</t>
  </si>
  <si>
    <t>WiFi 6, Bluetooth 5.0, USB-C, HDMI</t>
  </si>
  <si>
    <t>Valor de mercado — equipo de Brayan Torres</t>
  </si>
  <si>
    <t>Depreciación por uso — 116 días trabajados (vida útil 5 años / 1.825 días)</t>
  </si>
  <si>
    <t>$1,315/día</t>
  </si>
  <si>
    <t>SE SUMA al costo del proyecto</t>
  </si>
  <si>
    <t xml:space="preserve">  DO — David Ortegón  |  Backend · Base de Datos · Seguridad · Documentación ISO</t>
  </si>
  <si>
    <t>Intel Core i5-1135G7 (4C/8T · 2.4–4.2 GHz · laptop)</t>
  </si>
  <si>
    <t>Valor de mercado — equipo de David Ortegón</t>
  </si>
  <si>
    <t xml:space="preserve">  SV — Stiven Vargas  |  UI/UX · Prototipo Figma · App Móvil · Pruebas · SCV</t>
  </si>
  <si>
    <t>15.6" FHD IPS 1920×1080 — táctil opcional para diseño</t>
  </si>
  <si>
    <t>Valor de mercado — equipo de Stiven Vargas</t>
  </si>
  <si>
    <t xml:space="preserve">  RESUMEN — VALOR Y DEPRECIACIÓN DE LOS 3 EQUIPOS</t>
  </si>
  <si>
    <t>Valor de mercado total (3 laptops — ya son propiedad de los estudiantes)</t>
  </si>
  <si>
    <t>Depreciación total — 3 equipos × 116 días trabajados</t>
  </si>
  <si>
    <t>COSTO QUE SE SUMA AL PRESUPUESTO DEL PROYECTO (depreciación)</t>
  </si>
  <si>
    <t>• Los 3 equipos son propiedad personal de cada integrante — su valor de compra NO se suma al proyecto.</t>
  </si>
  <si>
    <t>• La DEPRECIACIÓN sí se suma — representa el desgaste real del equipo durante las horas dedicadas al proyecto.</t>
  </si>
  <si>
    <t>• Fórmula: Depreciación = (Valor del equipo ÷ 1.825 días de vida útil) × Días hábiles trabajados (116 días).</t>
  </si>
  <si>
    <t>• Vida útil de 5 años (1.825 días) — estándar contable para equipos de cómputo de uso profesional intensivo.</t>
  </si>
  <si>
    <t>• Fuente de precios de componentes: Alkosto, Éxito y Falabella Colombia — laptops gama media 2025-2026.</t>
  </si>
  <si>
    <t xml:space="preserve">  Control Store — Aleyual  |  Servidores y Arquitectura Cloud  |  1 Jul – 18 Dic 2026</t>
  </si>
  <si>
    <t xml:space="preserve">  Sin servidor físico propio. Arquitectura de 3 capas en proveedores cloud con planes verificados (jun 2026).</t>
  </si>
  <si>
    <t xml:space="preserve">  ARQUITECTURA — 3 CAPAS</t>
  </si>
  <si>
    <t>CAPA</t>
  </si>
  <si>
    <t>PROVEEDOR</t>
  </si>
  <si>
    <t>PLAN</t>
  </si>
  <si>
    <t>COSTO</t>
  </si>
  <si>
    <t>LÍMITES Y NOTAS</t>
  </si>
  <si>
    <t>Frontend (Blade + Bootstrap 5)</t>
  </si>
  <si>
    <t>Railway — Web Service</t>
  </si>
  <si>
    <t>Free</t>
  </si>
  <si>
    <t>Sin 'sleep', uso comercial permitido. HTTPS y CDN incluidos.</t>
  </si>
  <si>
    <t>Backend (API REST Laravel 11)</t>
  </si>
  <si>
    <t>Railway — Web Service</t>
  </si>
  <si>
    <t>Se 'duerme' tras 15 min sin tráfico (despierta en 30-60s).</t>
  </si>
  <si>
    <t>Base de Datos</t>
  </si>
  <si>
    <t>MySQL 8</t>
  </si>
  <si>
    <t>500 MB · uso comercial permitido · pausa tras 7 días sin actividad.</t>
  </si>
  <si>
    <t>Dominio</t>
  </si>
  <si>
    <t>nic.co</t>
  </si>
  <si>
    <t>.com.co</t>
  </si>
  <si>
    <t>Registro anual obligatorio.</t>
  </si>
  <si>
    <t>Chatbot WhatsApp</t>
  </si>
  <si>
    <t>Twilio — WhatsApp Business API</t>
  </si>
  <si>
    <t>Sandbox→Pago</t>
  </si>
  <si>
    <t>$40.000/mes</t>
  </si>
  <si>
    <t>6 meses calendario = $240.000 total.</t>
  </si>
  <si>
    <t>TOTAL SERVIDORES — 6 MESES (Jul–Dic 2026)</t>
  </si>
  <si>
    <t xml:space="preserve">  OPCIONAL — BACKEND SIEMPRE ACTIVO (recomendado al lanzar a producción real)</t>
  </si>
  <si>
    <t>Mejora</t>
  </si>
  <si>
    <t>Proveedor</t>
  </si>
  <si>
    <t>Costo USD/mes</t>
  </si>
  <si>
    <t>Costo COP (6 meses)</t>
  </si>
  <si>
    <t>¿Por qué?</t>
  </si>
  <si>
    <t>Backend sin 'sleep' 24/7</t>
  </si>
  <si>
    <t>Railway Hobby</t>
  </si>
  <si>
    <t>$7 USD</t>
  </si>
  <si>
    <t>Elimina la espera de 30-60s en la primera venta del día.</t>
  </si>
  <si>
    <t>Alternativa equivalente</t>
  </si>
  <si>
    <t>Railway Hobby</t>
  </si>
  <si>
    <t>$5 USD</t>
  </si>
  <si>
    <t>Plan con $5 USD de crédito mensual incluido.</t>
  </si>
  <si>
    <t>• Vercel y Netlify solo sirven sitios estáticos y no ejecutan PHP — por eso se eligió Railway.</t>
  </si>
  <si>
    <t>• Railway ofrece MySQL 8 gestionado con backups automáticos — opción correcta para la BD de un negocio real.</t>
  </si>
  <si>
    <t xml:space="preserve">  Control Store  |  Recursos Humanos — Equipo Real  |  3 Desarrolladores Junior ADSO SENA</t>
  </si>
  <si>
    <t xml:space="preserve">  Prestación de Servicios · $2.000.000/mes cada uno · 116 días hábiles (1 Jul – 18 Dic 2026)</t>
  </si>
  <si>
    <t>ITEM</t>
  </si>
  <si>
    <t>INTEGRANTE / ROL</t>
  </si>
  <si>
    <t>CANT</t>
  </si>
  <si>
    <t>SAL. MENSUAL</t>
  </si>
  <si>
    <t>V/DÍA</t>
  </si>
  <si>
    <t>H/DÍA</t>
  </si>
  <si>
    <t>V/HORA</t>
  </si>
  <si>
    <t>DÍAS</t>
  </si>
  <si>
    <t>SALARIO REAL</t>
  </si>
  <si>
    <t>Stiven Vargas — UI/UX · Prototipo · App Móvil · Prueba</t>
  </si>
  <si>
    <t>TOTAL HONORARIOS — 3 INTEGRANTES × 116 DÍAS HÁBILES</t>
  </si>
  <si>
    <t>• Contrato: Prestación de Servicios — Art. 34 C.S.T.</t>
  </si>
  <si>
    <t>• Los integrantes asumen su propia afiliación a salud (cotización independiente)</t>
  </si>
  <si>
    <t>• Sin cesantías, prima, ni vacaciones pagadas por el contratante</t>
  </si>
  <si>
    <t>• V/DÍA = Salario mensual ÷ 30  |  V/HORA = V/DÍA ÷ 8 horas</t>
  </si>
  <si>
    <t>• SALARIO REAL = V/DÍA × 116 días trabajados × 1 persona</t>
  </si>
  <si>
    <t>• Período: 1 julio 2026 → 18 diciembre 2026 (116 días hábiles reales, festivos colombianos descontados)</t>
  </si>
  <si>
    <t xml:space="preserve">  Control Store  |  Distribución de Tareas por Integrante  |  20 actividades · 6 meses</t>
  </si>
  <si>
    <t xml:space="preserve">  1 julio 2026 → 18 diciembre 2026 · Solo 2 hitos compartidos (kickoff y entrega final)</t>
  </si>
  <si>
    <t>ID</t>
  </si>
  <si>
    <t>% del mes</t>
  </si>
  <si>
    <t>Jul'26</t>
  </si>
  <si>
    <t>5%</t>
  </si>
  <si>
    <t>95%</t>
  </si>
  <si>
    <t>100%</t>
  </si>
  <si>
    <t>Ago'26</t>
  </si>
  <si>
    <t>Sep'26</t>
  </si>
  <si>
    <t>Oct'26</t>
  </si>
  <si>
    <t>Nov'26</t>
  </si>
  <si>
    <t>Dic'26</t>
  </si>
  <si>
    <t>6.1</t>
  </si>
  <si>
    <t>Despliegue en Railway y configuración del dominio</t>
  </si>
  <si>
    <t>8%</t>
  </si>
  <si>
    <t xml:space="preserve">  RESUMEN DE CARGA POR INTEGRANTE</t>
  </si>
  <si>
    <t>INI.</t>
  </si>
  <si>
    <t>NOMBRE</t>
  </si>
  <si>
    <t>DÍAS PROPIOS</t>
  </si>
  <si>
    <t>DÍAS COMPARTIDOS</t>
  </si>
  <si>
    <t>TOTAL DÍAS</t>
  </si>
  <si>
    <t>CONTROL STORE — ÉPICAS DEL PRODUCTO</t>
  </si>
  <si>
    <t>Equipo: Brayan Torres · David Ortegón · Stiven Vargas — Desarrolladores Full Stack</t>
  </si>
  <si>
    <t>ÉPICA</t>
  </si>
  <si>
    <t>DESCRIPCIÓN</t>
  </si>
  <si>
    <t>MÓDULO SRS</t>
  </si>
  <si>
    <t>SPRINT</t>
  </si>
  <si>
    <t>PRIORIDAD</t>
  </si>
  <si>
    <t>ESTADO</t>
  </si>
  <si>
    <t>✓</t>
  </si>
  <si>
    <t>EP-01</t>
  </si>
  <si>
    <t>Gestión de Usuarios</t>
  </si>
  <si>
    <t>Control de acceso, autenticación y administración de cuentas (ADMIN, Vendedor, Domiciliario)</t>
  </si>
  <si>
    <t>SS-001</t>
  </si>
  <si>
    <t>Sprint 1</t>
  </si>
  <si>
    <t>Alta</t>
  </si>
  <si>
    <t>Planificado</t>
  </si>
  <si>
    <t>EP-02</t>
  </si>
  <si>
    <t>Gestión de Inventario</t>
  </si>
  <si>
    <t>Registro, consulta, edición y control de productos con alertas automáticas de stock y vencimiento</t>
  </si>
  <si>
    <t>SS-002</t>
  </si>
  <si>
    <t>Sprint 2</t>
  </si>
  <si>
    <t>EP-03</t>
  </si>
  <si>
    <t>Gestión de Ventas y Caja</t>
  </si>
  <si>
    <t>Registro de ventas con múltiples métodos de pago, consulta, anulación y cierre automático de caja</t>
  </si>
  <si>
    <t>SS-003</t>
  </si>
  <si>
    <t>Sprint 3</t>
  </si>
  <si>
    <t>EP-04</t>
  </si>
  <si>
    <t>Domicilios – Chatbot WhatsApp</t>
  </si>
  <si>
    <t>Integración con WhatsApp Business API: pedidos, asignación de domiciliario y notificaciones</t>
  </si>
  <si>
    <t>SS-004</t>
  </si>
  <si>
    <t>Sprint 4</t>
  </si>
  <si>
    <t>EP-05</t>
  </si>
  <si>
    <t>Reportes y Estadísticas</t>
  </si>
  <si>
    <t>Reportes gráficos e impresos de ventas, inventario y domicilios exportables en PDF/Excel</t>
  </si>
  <si>
    <t>SS-005</t>
  </si>
  <si>
    <t>Sprint 5</t>
  </si>
  <si>
    <t>Media</t>
  </si>
  <si>
    <t>CONTROL STORE — SCRUM TEAM  ·  Equipo de Desarrollo</t>
  </si>
  <si>
    <t>Proyecto Control Store  ·  Cliente: Autoservicio Ayuelal  ·  Jul – Dic 2026</t>
  </si>
  <si>
    <t>ROL SCRUM</t>
  </si>
  <si>
    <t>NOMBRE COMPLETO</t>
  </si>
  <si>
    <t>INIC.</t>
  </si>
  <si>
    <t>PUESTO / RESPONSABILIDAD</t>
  </si>
  <si>
    <t>STACK TECNOLÓGICO</t>
  </si>
  <si>
    <t>EPS</t>
  </si>
  <si>
    <t>Scrum Master</t>
  </si>
  <si>
    <t>Brayan Alexander Torres Peña</t>
  </si>
  <si>
    <t>Desarrollador Full Stack — Líder Técnico</t>
  </si>
  <si>
    <t>Laravel 11 · PHP + MySQL 8 · API REST · Despliegue</t>
  </si>
  <si>
    <t>Colpatria EPS</t>
  </si>
  <si>
    <t>Product Owner (delegado)</t>
  </si>
  <si>
    <t>Instructor SENA</t>
  </si>
  <si>
    <t>Representa al Product Owner: valida backlog, prioridades y entregables ante el cliente</t>
  </si>
  <si>
    <t>SENA — Centro de Servicios Financieros</t>
  </si>
  <si>
    <t>Scrum Team / Dev</t>
  </si>
  <si>
    <t>Desarrollador Full Stack — Backend &amp; Base de Datos</t>
  </si>
  <si>
    <t>Backend · MySQL 8 · Seguridad · Documentación ISO</t>
  </si>
  <si>
    <t>Desarrollador Full Stack — UI/UX &amp; Calidad</t>
  </si>
  <si>
    <t>UI/UX · Figma · App Móvil · Pruebas · Control de Versiones</t>
  </si>
  <si>
    <t>Stakeholder / Cliente</t>
  </si>
  <si>
    <t>Humberto Moreno</t>
  </si>
  <si>
    <t>HM</t>
  </si>
  <si>
    <t>Propietario Autoservicio Ayuelal — valida en Sprint Review y aprueba entregables</t>
  </si>
  <si>
    <t>Cliente externo</t>
  </si>
  <si>
    <t>SERVICIOS PERSONALES MENSUALES POR INTEGRANTE (estimado · trabajo desde casa)</t>
  </si>
  <si>
    <t>INTEGRANTE</t>
  </si>
  <si>
    <t>INTERNET / MES</t>
  </si>
  <si>
    <t>LUZ (aporte) / MES</t>
  </si>
  <si>
    <t>TOTAL / MES</t>
  </si>
  <si>
    <t>TOTAL EQUIPO (3 integrantes)</t>
  </si>
  <si>
    <t>CEREMONIA</t>
  </si>
  <si>
    <t>FRECUENCIA</t>
  </si>
  <si>
    <t>DURACIÓN</t>
  </si>
  <si>
    <t>PARTICIPANTES</t>
  </si>
  <si>
    <t>OBJETIVO</t>
  </si>
  <si>
    <t>Sprint Planning</t>
  </si>
  <si>
    <t>Inicio de cada Sprint (cada 3 sem.)</t>
  </si>
  <si>
    <t>2 horas</t>
  </si>
  <si>
    <t>BT, DO, SV, Instructor SENA</t>
  </si>
  <si>
    <t>Seleccionar ítems del Product Backlog, definir el Sprint Goal y crear el Sprint Backlog.</t>
  </si>
  <si>
    <t>Daily Scrum</t>
  </si>
  <si>
    <t>Cada día hábil</t>
  </si>
  <si>
    <t>15 minutos</t>
  </si>
  <si>
    <t>BT, DO, SV</t>
  </si>
  <si>
    <t>¿Qué hice ayer? ¿Qué haré hoy? ¿Hay impedimentos? Sincronización diaria.</t>
  </si>
  <si>
    <t>Sprint Review</t>
  </si>
  <si>
    <t>Final de cada Sprint</t>
  </si>
  <si>
    <t>1 hora</t>
  </si>
  <si>
    <t>BT, DO, SV, Instructor SENA, Humberto Moreno</t>
  </si>
  <si>
    <t>Demostrar el incremento funcional y validar criterios de aceptación.</t>
  </si>
  <si>
    <t>Sprint Retrospectiva</t>
  </si>
  <si>
    <t>Final de cada Sprint (tras Review)</t>
  </si>
  <si>
    <t>45 minutos</t>
  </si>
  <si>
    <t>¿Qué salió bien? ¿Qué mejorar? Acciones concretas de mejora continua.</t>
  </si>
  <si>
    <t>Reunión con Cliente</t>
  </si>
  <si>
    <t>Inicio del proyecto y tras cada Review</t>
  </si>
  <si>
    <t>30–60 min</t>
  </si>
  <si>
    <t>BT, DO, SV, Humberto Moreno</t>
  </si>
  <si>
    <t>Validar requisitos, demostrar avance real y recolectar feedback del propietario.</t>
  </si>
  <si>
    <t>Refinamiento de Backlog</t>
  </si>
  <si>
    <t>Mitad de cada Sprint</t>
  </si>
  <si>
    <t>Revisar, priorizar y estimar ítems del Product Backlog para el siguiente Sprint.</t>
  </si>
  <si>
    <t>CONTROL STORE — DIAGRAMA DE GANTT SCRUM  ·  Sprints por Requisitos Funcionales (RF01–RF30)</t>
  </si>
  <si>
    <t>Scrum Master: Brayan Torres  ·  Equipo: David Ortegón, Stiven Vargas  ·  Product Owner: Instructor SENA  ·  Cliente: Humberto Moreno   |   Marca ✓ en la columna H cuando el ítem esté Hecho</t>
  </si>
  <si>
    <t>SPRINT 1 — Usuarios (RF01–RF07)</t>
  </si>
  <si>
    <t>SPRINT 2 — Inventario (RF08–RF13)</t>
  </si>
  <si>
    <t>SPRINT 3 — Ventas/Caja (RF14–RF18)</t>
  </si>
  <si>
    <t>SPRINT 4 — Domicilios (RF19–RF25)</t>
  </si>
  <si>
    <t>SPRINT 5 — Reportes (RF26–RF30)</t>
  </si>
  <si>
    <t>SPRINT 6 — Integración y Despliegue</t>
  </si>
  <si>
    <t>TIPO</t>
  </si>
  <si>
    <t>DESCRIPCIÓN / TAREA</t>
  </si>
  <si>
    <t>RESP.</t>
  </si>
  <si>
    <t>S1
01-03 Jul</t>
  </si>
  <si>
    <t>S2
06-10 Jul</t>
  </si>
  <si>
    <t>S3
13-17 Jul</t>
  </si>
  <si>
    <t>S4
20-24 Jul</t>
  </si>
  <si>
    <t>S5
27-31 Jul</t>
  </si>
  <si>
    <t>S6
03-07 Ago</t>
  </si>
  <si>
    <t>S7
10-14 Ago</t>
  </si>
  <si>
    <t>S8
17-21 Ago</t>
  </si>
  <si>
    <t>S9
24-28 Ago</t>
  </si>
  <si>
    <t>S10
31Ago-04Sep</t>
  </si>
  <si>
    <t>S11
07-11 Sep</t>
  </si>
  <si>
    <t>S12
14-18 Sep</t>
  </si>
  <si>
    <t>S13
21-25 Sep</t>
  </si>
  <si>
    <t>S14
28Sep-02Oct</t>
  </si>
  <si>
    <t>S15
05-09 Oct</t>
  </si>
  <si>
    <t>S16
12-16 Oct</t>
  </si>
  <si>
    <t>S17
19Oct-06Nov</t>
  </si>
  <si>
    <t>S18
09Nov-04Dic</t>
  </si>
  <si>
    <t>S19
07-18 Dic</t>
  </si>
  <si>
    <t xml:space="preserve">  SPRINT 1 — Módulo de Usuarios   |   01/07/2026 – 17/07/2026   |   3 semanas</t>
  </si>
  <si>
    <t xml:space="preserve">  Sprint Goal: EP-01 · RF01–RF07 con autenticación con Laravel Sanctum + bcrypt</t>
  </si>
  <si>
    <t>SPRINT 1</t>
  </si>
  <si>
    <t>■</t>
  </si>
  <si>
    <t>RF</t>
  </si>
  <si>
    <t>RF01</t>
  </si>
  <si>
    <t>Iniciar sesión (autenticación con Laravel Sanctum + roles)</t>
  </si>
  <si>
    <t>▬</t>
  </si>
  <si>
    <t>Sub-RF</t>
  </si>
  <si>
    <t>RF01.1</t>
  </si>
  <si>
    <t xml:space="preserve">   INCLUDE: Validar credenciales en BD</t>
  </si>
  <si>
    <t>RF01.2</t>
  </si>
  <si>
    <t xml:space="preserve">   EXTEND: Error de credenciales incorrectas</t>
  </si>
  <si>
    <t>RF01.3</t>
  </si>
  <si>
    <t xml:space="preserve">   EXTEND: Bloquear usuario inactivo</t>
  </si>
  <si>
    <t>RF02</t>
  </si>
  <si>
    <t>Cerrar sesión (invalidar token)</t>
  </si>
  <si>
    <t>RF02.1</t>
  </si>
  <si>
    <t xml:space="preserve">   INCLUDE: Validar token de sesión</t>
  </si>
  <si>
    <t>RF03</t>
  </si>
  <si>
    <t>Recuperar contraseña (email, enlace 30 min)</t>
  </si>
  <si>
    <t>RF03.1</t>
  </si>
  <si>
    <t xml:space="preserve">   INCLUDE: Enviar email con enlace</t>
  </si>
  <si>
    <t>RF03.2</t>
  </si>
  <si>
    <t xml:space="preserve">   EXTEND: Error de correo no registrado</t>
  </si>
  <si>
    <t>RF04</t>
  </si>
  <si>
    <t>Registrar usuario (ADMIN crea cuentas + bcrypt)</t>
  </si>
  <si>
    <t>RF04.1</t>
  </si>
  <si>
    <t xml:space="preserve">   INCLUDE: Cifrar contraseña (bcrypt)</t>
  </si>
  <si>
    <t>RF04.2</t>
  </si>
  <si>
    <t xml:space="preserve">   INCLUDE: Validar correo duplicado</t>
  </si>
  <si>
    <t>RF05</t>
  </si>
  <si>
    <t>Editar usuario (log de auditoría)</t>
  </si>
  <si>
    <t>RF05.1</t>
  </si>
  <si>
    <t xml:space="preserve">   INCLUDE: Registrar log de auditoría</t>
  </si>
  <si>
    <t>RF06</t>
  </si>
  <si>
    <t>Actualizar estado usuario (activar/desactivar)</t>
  </si>
  <si>
    <t>RF06.1</t>
  </si>
  <si>
    <t>RF06.2</t>
  </si>
  <si>
    <t xml:space="preserve">   EXTEND: Bloquear acceso al desactivar</t>
  </si>
  <si>
    <t>RF07</t>
  </si>
  <si>
    <t>Cambiar contraseña propia (validar actual + bcrypt)</t>
  </si>
  <si>
    <t>RF07.1</t>
  </si>
  <si>
    <t xml:space="preserve">   INCLUDE: Validar contraseña actual</t>
  </si>
  <si>
    <t>RF07.2</t>
  </si>
  <si>
    <t xml:space="preserve">   INCLUDE: Cifrar nueva contraseña (bcrypt)</t>
  </si>
  <si>
    <t>REV-S1</t>
  </si>
  <si>
    <t>Sprint Review Sprint 1 — Demo al instructor SENA</t>
  </si>
  <si>
    <t>RET-S1</t>
  </si>
  <si>
    <t>Retrospectiva Sprint 1</t>
  </si>
  <si>
    <t>CLI-S1</t>
  </si>
  <si>
    <t>Reunión con Humberto Moreno — Validación S1</t>
  </si>
  <si>
    <t xml:space="preserve">  SPRINT 2 — Módulo de Inventario   |   20/07/2026 – 07/08/2026   |   3 semanas</t>
  </si>
  <si>
    <t xml:space="preserve">  Sprint Goal: EP-02 · RF08–RF13: CRUD de productos + alertas automáticas</t>
  </si>
  <si>
    <t>SPRINT 2</t>
  </si>
  <si>
    <t>RF08</t>
  </si>
  <si>
    <t>Registrar producto (barras, precios, stock, venc.)</t>
  </si>
  <si>
    <t>RF08.1</t>
  </si>
  <si>
    <t xml:space="preserve">   INCLUDE: Validar código de barras</t>
  </si>
  <si>
    <t>RF08.2</t>
  </si>
  <si>
    <t xml:space="preserve">   INCLUDE: Guardar en base de datos</t>
  </si>
  <si>
    <t>RF08.3</t>
  </si>
  <si>
    <t xml:space="preserve">   EXTEND: Error de código duplicado</t>
  </si>
  <si>
    <t>RF09</t>
  </si>
  <si>
    <t>Listar productos (paginado, filtros)</t>
  </si>
  <si>
    <t>RF09.1</t>
  </si>
  <si>
    <t xml:space="preserve">   INCLUDE: Consultar BD de inventario</t>
  </si>
  <si>
    <t>RF10</t>
  </si>
  <si>
    <t>Consultar producto (detalle + historial)</t>
  </si>
  <si>
    <t>RF10.1</t>
  </si>
  <si>
    <t>RF10.2</t>
  </si>
  <si>
    <t xml:space="preserve">   INCLUDE: Mostrar historial de movimientos</t>
  </si>
  <si>
    <t>RF11</t>
  </si>
  <si>
    <t>Editar producto (todos los campos + log auditoría)</t>
  </si>
  <si>
    <t>RF11.1</t>
  </si>
  <si>
    <t xml:space="preserve">   INCLUDE: Guardar cambios en BD</t>
  </si>
  <si>
    <t>RF11.2</t>
  </si>
  <si>
    <t>RF11.3</t>
  </si>
  <si>
    <t xml:space="preserve">   EXTEND: Alerta de stock bajo al editar</t>
  </si>
  <si>
    <t>RF12</t>
  </si>
  <si>
    <t>Eliminar producto (confirmación + log)</t>
  </si>
  <si>
    <t>RF12.1</t>
  </si>
  <si>
    <t xml:space="preserve">   INCLUDE: Confirmar eliminación</t>
  </si>
  <si>
    <t>RF12.2</t>
  </si>
  <si>
    <t>RF13</t>
  </si>
  <si>
    <t>Alerta de vencimiento y stock mínimo (dashboard)</t>
  </si>
  <si>
    <t>RF13.1</t>
  </si>
  <si>
    <t>RF13.2</t>
  </si>
  <si>
    <t xml:space="preserve">   INCLUDE: Notificar vencimiento</t>
  </si>
  <si>
    <t>RF13.3</t>
  </si>
  <si>
    <t xml:space="preserve">   INCLUDE: Notificar stock mínimo</t>
  </si>
  <si>
    <t>REV-S2</t>
  </si>
  <si>
    <t>Sprint Review Sprint 2 — Demo inventario</t>
  </si>
  <si>
    <t>RET-S2</t>
  </si>
  <si>
    <t>Retrospectiva Sprint 2</t>
  </si>
  <si>
    <t>CLI-S2</t>
  </si>
  <si>
    <t>Reunión con cliente — Revisión inventario</t>
  </si>
  <si>
    <t xml:space="preserve">  SPRINT 3 — Módulo de Ventas y Caja   |   10/08/2026 – 28/08/2026   |   3 semanas</t>
  </si>
  <si>
    <t xml:space="preserve">  Sprint Goal: EP-03 · RF14–RF18: ventas con múltiples pagos + cierre de caja</t>
  </si>
  <si>
    <t>SPRINT 3</t>
  </si>
  <si>
    <t>RF14</t>
  </si>
  <si>
    <t>Registrar venta (barras/búsqueda, total, stock)</t>
  </si>
  <si>
    <t>RF14.1</t>
  </si>
  <si>
    <t xml:space="preserve">   INCLUDE: Calcular total automático</t>
  </si>
  <si>
    <t>RF14.2</t>
  </si>
  <si>
    <t xml:space="preserve">   INCLUDE: Descontar stock en BD</t>
  </si>
  <si>
    <t>RF14.3</t>
  </si>
  <si>
    <t xml:space="preserve">   INCLUDE: Generar comprobante de venta</t>
  </si>
  <si>
    <t>RF14.4</t>
  </si>
  <si>
    <t xml:space="preserve">   EXTEND: Pago QR (Nequi/Daviplata)</t>
  </si>
  <si>
    <t>RF14.5</t>
  </si>
  <si>
    <t xml:space="preserve">   EXTEND: Error de stock insuficiente</t>
  </si>
  <si>
    <t>RF15</t>
  </si>
  <si>
    <t>Listar ventas (filtros fecha/vendedor/pago)</t>
  </si>
  <si>
    <t>RF15.1</t>
  </si>
  <si>
    <t xml:space="preserve">   INCLUDE: Consultar BD de ventas</t>
  </si>
  <si>
    <t>RF16</t>
  </si>
  <si>
    <t>Consultar venta (detalle completo)</t>
  </si>
  <si>
    <t>RF16.1</t>
  </si>
  <si>
    <t>RF17</t>
  </si>
  <si>
    <t>Anular venta (solo ADMIN, revertir stock)</t>
  </si>
  <si>
    <t>RF17.1</t>
  </si>
  <si>
    <t xml:space="preserve">   EXTEND: Confirmar y registrar motivo</t>
  </si>
  <si>
    <t>RF17.2</t>
  </si>
  <si>
    <t xml:space="preserve">   INCLUDE: Revertir stock en BD</t>
  </si>
  <si>
    <t>RF17.3</t>
  </si>
  <si>
    <t>RF18</t>
  </si>
  <si>
    <t>Cierre de caja (totales x método + comprobante)</t>
  </si>
  <si>
    <t>RF18.1</t>
  </si>
  <si>
    <t xml:space="preserve">   INCLUDE: Consultar ventas del día</t>
  </si>
  <si>
    <t>RF18.2</t>
  </si>
  <si>
    <t xml:space="preserve">   INCLUDE: Calcular totales por método</t>
  </si>
  <si>
    <t>RF18.3</t>
  </si>
  <si>
    <t xml:space="preserve">   INCLUDE: Generar comprobante de cierre</t>
  </si>
  <si>
    <t>REV-S3</t>
  </si>
  <si>
    <t>Sprint Review Sprint 3 — Demo ventas + caja</t>
  </si>
  <si>
    <t>RET-S3</t>
  </si>
  <si>
    <t>Retrospectiva Sprint 3</t>
  </si>
  <si>
    <t>CLI-S3</t>
  </si>
  <si>
    <t>Reunión con cliente — Validación ventas</t>
  </si>
  <si>
    <t xml:space="preserve">  SPRINT 4 — Domicilios / Chatbot WhatsApp   |   31/08/2026 – 18/09/2026   |   3 semanas</t>
  </si>
  <si>
    <t xml:space="preserve">  Sprint Goal: EP-04 · RF19–RF25: chatbot WhatsApp + pedidos + notificaciones</t>
  </si>
  <si>
    <t>Domicilios – Chatbot WhatsApp Business</t>
  </si>
  <si>
    <t>SPRINT 4</t>
  </si>
  <si>
    <t>RF19</t>
  </si>
  <si>
    <t>Iniciar pedido vía chatbot (menú, bienvenida)</t>
  </si>
  <si>
    <t>RF19.1</t>
  </si>
  <si>
    <t xml:space="preserve">   EXTEND: Mensaje fuera de horario</t>
  </si>
  <si>
    <t>RF19.2</t>
  </si>
  <si>
    <t xml:space="preserve">   EXTEND: Opción inválida — volver al menú</t>
  </si>
  <si>
    <t>RF20</t>
  </si>
  <si>
    <t>Consultar catálogo vía chatbot</t>
  </si>
  <si>
    <t>RF20.1</t>
  </si>
  <si>
    <t>RF20.2</t>
  </si>
  <si>
    <t xml:space="preserve">   INCLUDE: Validar stock de productos</t>
  </si>
  <si>
    <t>RF21</t>
  </si>
  <si>
    <t>Confirmar y enviar pedido (resumen, total)</t>
  </si>
  <si>
    <t>RF21.1</t>
  </si>
  <si>
    <t xml:space="preserve">   INCLUDE: Mostrar resumen y total</t>
  </si>
  <si>
    <t>RF21.2</t>
  </si>
  <si>
    <t xml:space="preserve">   EXTEND: Producto sin stock — ajustar pedido</t>
  </si>
  <si>
    <t>RF21.3</t>
  </si>
  <si>
    <t xml:space="preserve">   EXTEND: Timeout sin confirmar — cancelar</t>
  </si>
  <si>
    <t>RF22</t>
  </si>
  <si>
    <t>Registrar pedido en sistema (Pendiente)</t>
  </si>
  <si>
    <t>RF22.1</t>
  </si>
  <si>
    <t xml:space="preserve">   INCLUDE: Guardar pedido en BD</t>
  </si>
  <si>
    <t>RF22.2</t>
  </si>
  <si>
    <t xml:space="preserve">   INCLUDE: Estado inicial Pendiente</t>
  </si>
  <si>
    <t>RF23</t>
  </si>
  <si>
    <t>Asignar domiciliario al pedido</t>
  </si>
  <si>
    <t>RF23.1</t>
  </si>
  <si>
    <t xml:space="preserve">   INCLUDE: Notificar al Admin nuevo pedido</t>
  </si>
  <si>
    <t>RF23.2</t>
  </si>
  <si>
    <t xml:space="preserve">   INCLUDE: Cambiar estado a Alistando</t>
  </si>
  <si>
    <t>RF23.3</t>
  </si>
  <si>
    <t xml:space="preserve">   EXTEND: Notificar al domiciliario</t>
  </si>
  <si>
    <t>RF24</t>
  </si>
  <si>
    <t>Actualizar estado pedido (En camino → Entregado)</t>
  </si>
  <si>
    <t>RF24.1</t>
  </si>
  <si>
    <t xml:space="preserve">   EXTEND: Sin domiciliarios disponibles</t>
  </si>
  <si>
    <t>RF24.2</t>
  </si>
  <si>
    <t xml:space="preserve">   INCLUDE: Registrar marca de tiempo</t>
  </si>
  <si>
    <t>RF24.3</t>
  </si>
  <si>
    <t xml:space="preserve">   INCLUDE: Guardar estado en BD</t>
  </si>
  <si>
    <t>RF25</t>
  </si>
  <si>
    <t>Notificar estado del pedido al cliente (WA)</t>
  </si>
  <si>
    <t>RF25.1</t>
  </si>
  <si>
    <t xml:space="preserve">   EXTEND: Marcar No Entregado</t>
  </si>
  <si>
    <t>RF25.2</t>
  </si>
  <si>
    <t xml:space="preserve">   EXTEND: Enviar mensaje por WhatsApp</t>
  </si>
  <si>
    <t>REV-S4</t>
  </si>
  <si>
    <t>Sprint Review Sprint 4 — Demo chatbot</t>
  </si>
  <si>
    <t>RET-S4</t>
  </si>
  <si>
    <t>Retrospectiva Sprint 4</t>
  </si>
  <si>
    <t>CLI-S4</t>
  </si>
  <si>
    <t>Reunión con cliente — Prueba real chatbot</t>
  </si>
  <si>
    <t xml:space="preserve">  SPRINT 5 — Módulo de Reportes   |   21/09/2026 – 09/10/2026   |   3 semanas</t>
  </si>
  <si>
    <t xml:space="preserve">  Sprint Goal: EP-05 · RF26–RF30: reportes gráficos e impresos PDF/Excel</t>
  </si>
  <si>
    <t>SPRINT 5</t>
  </si>
  <si>
    <t>RF26</t>
  </si>
  <si>
    <t>Reporte gráfico de ventas (barras/líneas)</t>
  </si>
  <si>
    <t>RF26.1</t>
  </si>
  <si>
    <t>RF26.2</t>
  </si>
  <si>
    <t xml:space="preserve">   INCLUDE: Generar gráfico</t>
  </si>
  <si>
    <t>RF27</t>
  </si>
  <si>
    <t>Reporte impreso ventas (PDF/Excel)</t>
  </si>
  <si>
    <t>RF27.1</t>
  </si>
  <si>
    <t xml:space="preserve">   EXTEND: Exportar a PDF/Excel</t>
  </si>
  <si>
    <t>RF28</t>
  </si>
  <si>
    <t>Reporte gráfico inventario</t>
  </si>
  <si>
    <t>RF28.1</t>
  </si>
  <si>
    <t>RF28.2</t>
  </si>
  <si>
    <t xml:space="preserve">   INCLUDE: Generar gráfico del inventario</t>
  </si>
  <si>
    <t>RF29</t>
  </si>
  <si>
    <t>Reporte impreso productos (PDF/Excel)</t>
  </si>
  <si>
    <t>RF29.1</t>
  </si>
  <si>
    <t>RF30</t>
  </si>
  <si>
    <t>Reporte de domicilios (estados, tiempos)</t>
  </si>
  <si>
    <t>RF30.1</t>
  </si>
  <si>
    <t xml:space="preserve">   INCLUDE: Consultar BD de domicilios</t>
  </si>
  <si>
    <t>RF30.2</t>
  </si>
  <si>
    <t xml:space="preserve">   EXTEND: Enviar estado de pedido en reporte</t>
  </si>
  <si>
    <t>REV-S5</t>
  </si>
  <si>
    <t>Sprint Review Sprint 5 — Demo reportes</t>
  </si>
  <si>
    <t>RET-S5</t>
  </si>
  <si>
    <t>Retrospectiva Sprint 5</t>
  </si>
  <si>
    <t>CLI-S5</t>
  </si>
  <si>
    <t>Reunión final con cliente — Validación integral</t>
  </si>
  <si>
    <t xml:space="preserve">  SPRINT 6 — Integración, Pruebas y Despliegue   |   12/10/2026 – 18/12/2026   |   10 semanas</t>
  </si>
  <si>
    <t xml:space="preserve">  Sprint Goal: Sistema integrado, desplegado, documentado y entregado</t>
  </si>
  <si>
    <t>TAREA</t>
  </si>
  <si>
    <t>T-6.1</t>
  </si>
  <si>
    <t>Pruebas de integración completas</t>
  </si>
  <si>
    <t>SPRINT 6</t>
  </si>
  <si>
    <t>T-6.2</t>
  </si>
  <si>
    <t>Pruebas de seguridad + auditoría log</t>
  </si>
  <si>
    <t>T-6.3</t>
  </si>
  <si>
    <t>Despliegue Railway (Laravel + MySQL)</t>
  </si>
  <si>
    <t>T-6.4</t>
  </si>
  <si>
    <t>Configuración dominio .com.co + HTTPS</t>
  </si>
  <si>
    <t>T-6.5</t>
  </si>
  <si>
    <t>Configuración WhatsApp Business API en producción</t>
  </si>
  <si>
    <t>T-6.6</t>
  </si>
  <si>
    <t>Documentación técnica ISO/IEC 25010</t>
  </si>
  <si>
    <t>T-6.7</t>
  </si>
  <si>
    <t>Manual de usuario + manual técnico</t>
  </si>
  <si>
    <t>T-6.8</t>
  </si>
  <si>
    <t>Pruebas de aceptación con el cliente</t>
  </si>
  <si>
    <t>T-6.9</t>
  </si>
  <si>
    <t>Capacitación al cliente y empleados</t>
  </si>
  <si>
    <t>T-6.10</t>
  </si>
  <si>
    <t>Preparación entregable final SENA</t>
  </si>
  <si>
    <t>REV-FIN</t>
  </si>
  <si>
    <t>Sprint Review Final — Sistema completo</t>
  </si>
  <si>
    <t>RET-FIN</t>
  </si>
  <si>
    <t>Retrospectiva Final del Proyecto</t>
  </si>
  <si>
    <t>HITO</t>
  </si>
  <si>
    <t>HITO-FIN</t>
  </si>
  <si>
    <t>ENTREGA FINAL — Control Store v1.0 · 18 Dic 2026</t>
  </si>
  <si>
    <t>CONTROL STORE — PRODUCT BACKLOG  ·  RF01–RF30 + Sub-Requisitos INCLUDE/EXTEND</t>
  </si>
  <si>
    <t>Fuente: Especificación de Requisitos SRS v0300 · 21/06/2026  ·  IEEE Std 830-1998   |   Marca ✓ al completar</t>
  </si>
  <si>
    <t>ID RF</t>
  </si>
  <si>
    <t>DESCRIPCIÓN DEL REQUISITO / SUB-REQUISITO</t>
  </si>
  <si>
    <t>CRITERIOS DE ACEPTACIÓN</t>
  </si>
  <si>
    <t>ACTORES</t>
  </si>
  <si>
    <t>SP</t>
  </si>
  <si>
    <t>Iniciar sesión — autenticación con Laravel Sanctum con roles ADMIN/VENDEDOR/DOMICILIARIO</t>
  </si>
  <si>
    <t>Login exitoso redirige al dashboard del rol; credenciales incorrectas muestran error; usuario inactivo bloqueado</t>
  </si>
  <si>
    <t>ADMIN, Vendedor, Domiciliario</t>
  </si>
  <si>
    <t>INCLUDE: Validar credenciales en BD antes de conceder acceso</t>
  </si>
  <si>
    <t>Credenciales correctas → acceso; incorrectas → error</t>
  </si>
  <si>
    <t>Sistema</t>
  </si>
  <si>
    <t>EXTEND: Mostrar error si credenciales son incorrectas</t>
  </si>
  <si>
    <t>Mensaje de error claro, sin revelar cuál campo falla</t>
  </si>
  <si>
    <t>EXTEND: Bloquear usuario inactivo al intentar iniciar sesión</t>
  </si>
  <si>
    <t>Mensaje informativo de cuenta inactiva</t>
  </si>
  <si>
    <t>Cerrar sesión — invalidar token y redirigir a login</t>
  </si>
  <si>
    <t>Sesión cerrada; token inválido; sin datos en caché accesibles</t>
  </si>
  <si>
    <t>INCLUDE: Validar e invalidar token de sesión activa al cerrar</t>
  </si>
  <si>
    <t>Token invalidado en BD/blacklist</t>
  </si>
  <si>
    <t>Recuperar contraseña — enlace al correo con expiración 30 min</t>
  </si>
  <si>
    <t>Email recibido en &lt;2min; enlace expira en 30min; correo no registrado → mensaje genérico</t>
  </si>
  <si>
    <t>INCLUDE: Enviar email con enlace de restablecimiento (30 min)</t>
  </si>
  <si>
    <t>Email enviado con link válido 30 minutos</t>
  </si>
  <si>
    <t>EXTEND: Error genérico si el correo no está registrado</t>
  </si>
  <si>
    <t>No revela si la cuenta existe o no (seguridad)</t>
  </si>
  <si>
    <t>Registrar usuario — ADMIN crea cuentas con cifrado bcrypt</t>
  </si>
  <si>
    <t>Usuario creado con rol asignado; contraseña cifrada; correo duplicado detectado</t>
  </si>
  <si>
    <t>ADMIN</t>
  </si>
  <si>
    <t>INCLUDE: Cifrar contraseña con bcrypt antes de almacenar</t>
  </si>
  <si>
    <t>Hash bcrypt visible en BD; nunca plaintext</t>
  </si>
  <si>
    <t>INCLUDE: Validar que el correo no esté registrado previamente</t>
  </si>
  <si>
    <t>Error si correo duplicado</t>
  </si>
  <si>
    <t>Editar usuario — actualizar datos + log de auditoría automático</t>
  </si>
  <si>
    <t>Cambios guardados; log con fecha/hora/usuario que modificó</t>
  </si>
  <si>
    <t>INCLUDE: Registrar log de auditoría en cada modificación</t>
  </si>
  <si>
    <t>Log con: fecha, hora, usuario, campo modificado</t>
  </si>
  <si>
    <t>Actualizar estado usuario — activar/desactivar sin eliminar</t>
  </si>
  <si>
    <t>Usuario desactivado no puede iniciar sesión; log registrado</t>
  </si>
  <si>
    <t>INCLUDE: Registrar cambio de estado en log de auditoría</t>
  </si>
  <si>
    <t>Log con estado anterior y nuevo</t>
  </si>
  <si>
    <t>EXTEND: Bloquear acceso inmediatamente al desactivar</t>
  </si>
  <si>
    <t>Si el usuario está logueado, su sesión se invalida</t>
  </si>
  <si>
    <t>Cambiar contraseña propia — validar actual + nueva con bcrypt</t>
  </si>
  <si>
    <t>Contraseña actual correcta; nueva cumple reglas; cifrada con bcrypt</t>
  </si>
  <si>
    <t>INCLUDE: Verificar contraseña actual antes de permitir cambio</t>
  </si>
  <si>
    <t>Error si actual incorrecta</t>
  </si>
  <si>
    <t>INCLUDE: Cifrar nueva contraseña con bcrypt</t>
  </si>
  <si>
    <t>Hash bcrypt almacenado</t>
  </si>
  <si>
    <t>Registrar producto — todos los campos: barras, precios, stock, venc.</t>
  </si>
  <si>
    <t>Producto creado con ID único; código barras validado; duplicado detectado</t>
  </si>
  <si>
    <t>ADMIN, Vendedor</t>
  </si>
  <si>
    <t>INCLUDE: Validar código de barras al registrar</t>
  </si>
  <si>
    <t>Formato EAN/UPC válido</t>
  </si>
  <si>
    <t>INCLUDE: Guardar producto en base de datos de inventario</t>
  </si>
  <si>
    <t>Registro persistido en MySQL 8</t>
  </si>
  <si>
    <t>EXTEND: Error si código de barras ya existe (duplicado)</t>
  </si>
  <si>
    <t>Mensaje de error, no se crea duplicado</t>
  </si>
  <si>
    <t>Listar productos — paginado, filtros por categoría/nombre/estado</t>
  </si>
  <si>
    <t>Listado visible; paginación funcional; filtros operativos</t>
  </si>
  <si>
    <t>INCLUDE: Consultar BD de inventario para listado de activos</t>
  </si>
  <si>
    <t>Solo productos activos en listado principal</t>
  </si>
  <si>
    <t>Consultar producto — detalle completo + historial movimientos</t>
  </si>
  <si>
    <t>Todos los campos visibles; historial de entradas/salidas</t>
  </si>
  <si>
    <t>INCLUDE: Consultar BD de inventario para detalle</t>
  </si>
  <si>
    <t>Datos completos recuperados</t>
  </si>
  <si>
    <t>INCLUDE: Mostrar historial de movimientos de stock</t>
  </si>
  <si>
    <t>Tabla cronológica de entradas y salidas</t>
  </si>
  <si>
    <t>Editar producto — todos los campos + log de auditoría</t>
  </si>
  <si>
    <t>Cambios guardados; log registrado; alerta si stock&lt;mínimo</t>
  </si>
  <si>
    <t>INCLUDE: Guardar cambios del producto en BD</t>
  </si>
  <si>
    <t>Datos actualizados en MySQL 8</t>
  </si>
  <si>
    <t>INCLUDE: Registrar log de auditoría por cada cambio</t>
  </si>
  <si>
    <t>Log con campo, valor anterior, valor nuevo</t>
  </si>
  <si>
    <t>EXTEND: Alerta de stock si edición deja stock &lt; mínimo</t>
  </si>
  <si>
    <t>Alerta visible en dashboard</t>
  </si>
  <si>
    <t>Eliminar producto — confirmación + log de auditoría</t>
  </si>
  <si>
    <t>Confirmación antes de eliminar; log con acción registrada</t>
  </si>
  <si>
    <t>INCLUDE: Solicitar confirmación antes de eliminar/desactivar</t>
  </si>
  <si>
    <t>Modal de confirmación con nombre del producto</t>
  </si>
  <si>
    <t>INCLUDE: Registrar eliminación en log de auditoría</t>
  </si>
  <si>
    <t>Log con fecha, hora, usuario, producto</t>
  </si>
  <si>
    <t>Alerta automática vencimiento y stock mínimo en dashboard</t>
  </si>
  <si>
    <t>Alertas visibles; notificación al ADMIN; verificación en tiempo real</t>
  </si>
  <si>
    <t>INCLUDE: Consultar inventario para evaluar condiciones de alerta</t>
  </si>
  <si>
    <t>Verificación periódica (cada carga de página / cron)</t>
  </si>
  <si>
    <t>INCLUDE: Notificar productos en o próximos a vencimiento</t>
  </si>
  <si>
    <t>Badge/notificación visible en dashboard</t>
  </si>
  <si>
    <t>INCLUDE: Notificar productos con stock ≤ cantidad mínima</t>
  </si>
  <si>
    <t>Registrar venta — barras/búsqueda, total auto, descuento stock, comprobante</t>
  </si>
  <si>
    <t>Venta guardada; stock descontado; comprobante generado; QR/tarjeta/efectivo aceptados</t>
  </si>
  <si>
    <t>8</t>
  </si>
  <si>
    <t>INCLUDE: Calcular total automático de la venta</t>
  </si>
  <si>
    <t>Total correcto sin intervención manual</t>
  </si>
  <si>
    <t>INCLUDE: Descontar cantidades vendidas del stock en BD</t>
  </si>
  <si>
    <t>Stock actualizado inmediatamente</t>
  </si>
  <si>
    <t>INCLUDE: Generar comprobante de venta (imprimible)</t>
  </si>
  <si>
    <t>PDF/ticket con productos, totales, fecha, método de pago</t>
  </si>
  <si>
    <t>EXTEND: Aceptar pago con código QR Nequi/Daviplata</t>
  </si>
  <si>
    <t>QR generado en pantalla; pago verificado</t>
  </si>
  <si>
    <t>EXTEND: Error e impedimento si el stock es insuficiente</t>
  </si>
  <si>
    <t>Mensaje claro con cantidad disponible vs. requerida</t>
  </si>
  <si>
    <t>Listar ventas — paginado, filtros fecha/vendedor/método pago</t>
  </si>
  <si>
    <t>Historial visible con totales del período</t>
  </si>
  <si>
    <t>INCLUDE: Consultar BD de ventas para construir listado</t>
  </si>
  <si>
    <t>Datos recuperados según filtros aplicados</t>
  </si>
  <si>
    <t>Consultar venta — detalle completo: productos, pagos, fechas</t>
  </si>
  <si>
    <t>Todos los detalles de la venta visibles</t>
  </si>
  <si>
    <t>INCLUDE: Consultar BD de ventas para el detalle</t>
  </si>
  <si>
    <t>Detalle completo recuperado</t>
  </si>
  <si>
    <t>Anular venta — solo ADMIN, motivo obligatorio, revertir stock</t>
  </si>
  <si>
    <t>Venta anulada; stock revertido; log con motivo registrado</t>
  </si>
  <si>
    <t>EXTEND: Solicitar confirmación y motivo de anulación</t>
  </si>
  <si>
    <t>Modal con campo obligatorio de motivo</t>
  </si>
  <si>
    <t>INCLUDE: Revertir stock en BD a estado pre-venta</t>
  </si>
  <si>
    <t>Cantidades restauradas en inventario</t>
  </si>
  <si>
    <t>INCLUDE: Registrar anulación completa en log de auditoría</t>
  </si>
  <si>
    <t>Log con: venta ID, usuario, motivo, fecha/hora</t>
  </si>
  <si>
    <t>Cierre de caja — totales por método de pago + comprobante</t>
  </si>
  <si>
    <t>Resumen completo; comprobante PDF imprimible; solo ADMIN</t>
  </si>
  <si>
    <t>INCLUDE: Consultar todas las ventas del día en BD</t>
  </si>
  <si>
    <t>Ventas del día agrupadas</t>
  </si>
  <si>
    <t>INCLUDE: Calcular totales por cada método de pago</t>
  </si>
  <si>
    <t>Efectivo / Tarjeta / QR totalizados</t>
  </si>
  <si>
    <t>INCLUDE: Generar comprobante de cierre imprimible</t>
  </si>
  <si>
    <t>PDF con resumen de ingresos/egresos del día</t>
  </si>
  <si>
    <t>Iniciar pedido vía chatbot WA — menú, bienvenida, horario</t>
  </si>
  <si>
    <t>Chatbot activo; menú presentado; mensaje fuera de horario funciona; opción inválida reinicia menú</t>
  </si>
  <si>
    <t>Cliente (WA)</t>
  </si>
  <si>
    <t>EXTEND: Informar al cliente si escribe fuera del horario</t>
  </si>
  <si>
    <t>Mensaje automático con horario de atención</t>
  </si>
  <si>
    <t>Chatbot</t>
  </si>
  <si>
    <t>EXTEND: Volver al menú si el cliente elige opción inválida</t>
  </si>
  <si>
    <t>Menú presentado nuevamente con mensaje de aclaración</t>
  </si>
  <si>
    <t>Consultar catálogo vía chatbot — nombre, precio, disponibilidad</t>
  </si>
  <si>
    <t>Lista de productos con stock&gt;0 enviada por WhatsApp en tiempo real</t>
  </si>
  <si>
    <t>INCLUDE: Chatbot consulta BD de inventario activo</t>
  </si>
  <si>
    <t>Solo productos con stock&gt;0 mostrados</t>
  </si>
  <si>
    <t>INCLUDE: Validar disponibilidad de stock de productos</t>
  </si>
  <si>
    <t>Productos sin stock excluidos del catálogo</t>
  </si>
  <si>
    <t>Confirmar y enviar pedido — resumen, total, dirección, confirmación</t>
  </si>
  <si>
    <t>Resumen enviado; cliente confirma; timeout cancela; stock insuf. avisa</t>
  </si>
  <si>
    <t>INCLUDE: Mostrar resumen del pedido con total antes de confirmar</t>
  </si>
  <si>
    <t>Mensaje con lista de productos + total en COP</t>
  </si>
  <si>
    <t>EXTEND: Avisar si producto sin stock y permitir ajuste</t>
  </si>
  <si>
    <t>Chatbot notifica y ofrece continuar sin ese producto</t>
  </si>
  <si>
    <t>EXTEND: Cancelar pedido automáticamente por timeout</t>
  </si>
  <si>
    <t>Pedido cancelado tras tiempo definido sin confirmación</t>
  </si>
  <si>
    <t>Registrar pedido en sistema — estado inicial Pendiente</t>
  </si>
  <si>
    <t>Pedido guardado con todos los datos; estado=Pendiente</t>
  </si>
  <si>
    <t>INCLUDE: Guardar pedido confirmado en BD</t>
  </si>
  <si>
    <t>Todos los campos del pedido persistidos</t>
  </si>
  <si>
    <t>INCLUDE: Asignar estado inicial Pendiente al guardar</t>
  </si>
  <si>
    <t>Estado por defecto='Pendiente'</t>
  </si>
  <si>
    <t>Asignar domiciliario — ADMIN asigna, notifica, cambia estado</t>
  </si>
  <si>
    <t>Domiciliario asignado; estado=Alistando; notificaciones enviadas</t>
  </si>
  <si>
    <t>INCLUDE: Notificar al ADMIN la llegada de un nuevo pedido</t>
  </si>
  <si>
    <t>Notificación en sistema (in-app o email)</t>
  </si>
  <si>
    <t>INCLUDE: Cambiar estado del pedido a Alistando al asignar</t>
  </si>
  <si>
    <t>Estado actualizado en BD y visible en panel</t>
  </si>
  <si>
    <t>EXTEND: Notificar al domiciliario el pedido asignado</t>
  </si>
  <si>
    <t>Notificación al domiciliario con detalles del pedido</t>
  </si>
  <si>
    <t>Actualizar estado pedido — Domiciliario: En camino → Entregado</t>
  </si>
  <si>
    <t>Estados disponibles; marca de tiempo en cada cambio; BD actualizada</t>
  </si>
  <si>
    <t>Domiciliario</t>
  </si>
  <si>
    <t>EXTEND: Sin domiciliarios disponibles — avisar al ADMIN</t>
  </si>
  <si>
    <t>Alerta al ADMIN si no hay domiciliarios libres</t>
  </si>
  <si>
    <t>INCLUDE: Registrar marca de tiempo de cada cambio de estado</t>
  </si>
  <si>
    <t>Timestamp en BD por cada transición</t>
  </si>
  <si>
    <t>INCLUDE: Persistir nuevo estado en BD</t>
  </si>
  <si>
    <t>Estado actualizado en la tabla de pedidos</t>
  </si>
  <si>
    <t>Notificar estado pedido al cliente vía WhatsApp</t>
  </si>
  <si>
    <t>Cliente recibe mensajes por cada cambio de estado; nombre domiciliario incluido</t>
  </si>
  <si>
    <t>EXTEND: Marcar pedido como No Entregado cuando corresponda</t>
  </si>
  <si>
    <t>Estado 'No Entregado' disponible con observación</t>
  </si>
  <si>
    <t>EXTEND: Enviar mensaje de estado al cliente por WhatsApp</t>
  </si>
  <si>
    <t>Mensaje WA automático en cada cambio de estado</t>
  </si>
  <si>
    <t>Reporte gráfico de ventas — barras/líneas, filtros fecha/vendedor/producto</t>
  </si>
  <si>
    <t>Gráficos generados; filtros operativos; indicadores día/semana/mes</t>
  </si>
  <si>
    <t>INCLUDE: Consultar BD de ventas para generar el reporte</t>
  </si>
  <si>
    <t>Datos históricos recuperados según filtros</t>
  </si>
  <si>
    <t>INCLUDE: Generar gráficos de barras y líneas de ventas</t>
  </si>
  <si>
    <t>Gráficos renderizados con Chart.js o similar</t>
  </si>
  <si>
    <t>Reporte impreso ventas — PDF/Excel con detalle + totales + ganancia</t>
  </si>
  <si>
    <t>Exportación exitosa en ambos formatos; datos correctos</t>
  </si>
  <si>
    <t>EXTEND: Exportar reporte de ventas a PDF o Excel</t>
  </si>
  <si>
    <t>Archivo descargable generado correctamente</t>
  </si>
  <si>
    <t>Reporte gráfico inventario — stock bajo, vencimiento, más vendidos</t>
  </si>
  <si>
    <t>Gráficos por categorías de alerta visibles</t>
  </si>
  <si>
    <t>INCLUDE: Consultar BD inventario para el reporte gráfico</t>
  </si>
  <si>
    <t>Datos de stock y vencimiento recuperados</t>
  </si>
  <si>
    <t>INCLUDE: Generar gráfico del estado del inventario</t>
  </si>
  <si>
    <t>Gráficos de barras/torta del inventario</t>
  </si>
  <si>
    <t>Reporte impreso productos — PDF/Excel con stock, precios, venc.</t>
  </si>
  <si>
    <t>Listado completo exportado correctamente</t>
  </si>
  <si>
    <t>EXTEND: Exportar listado de productos a PDF o Excel</t>
  </si>
  <si>
    <t>Archivo generado con todos los campos</t>
  </si>
  <si>
    <t>Reporte domicilios — pedidos, estados, domiciliario, tiempo promedio</t>
  </si>
  <si>
    <t>Reporte completo con estadísticas y exportación PDF</t>
  </si>
  <si>
    <t>INCLUDE: Consultar BD domicilios para el reporte</t>
  </si>
  <si>
    <t>Datos históricos de pedidos recuperados</t>
  </si>
  <si>
    <t>EXTEND: Enviar estado de pedido como parte del reporte</t>
  </si>
  <si>
    <t>Estado incluido en el reporte exportado</t>
  </si>
  <si>
    <t>CONTROL STORE — SCRUM BOARD (Kanban)  ·  Tablero de Estado por Ítem</t>
  </si>
  <si>
    <t>Marca ✓ en la columna correspondiente al estado actual de cada ítem  ·  Sprint activo: Sprint 1</t>
  </si>
  <si>
    <t>ÉPICA / TAG</t>
  </si>
  <si>
    <t>HISTORIA / TAREA</t>
  </si>
  <si>
    <t>PRODUCT
BACKLOG</t>
  </si>
  <si>
    <t>SPRINT
BACKLOG</t>
  </si>
  <si>
    <t>EN
PROGRESO</t>
  </si>
  <si>
    <t>EN
REVISIÓN</t>
  </si>
  <si>
    <t>HECHO</t>
  </si>
  <si>
    <t>Iniciar sesión (Sanctum + roles)</t>
  </si>
  <si>
    <t>INCLUDE: Validar credenciales en BD</t>
  </si>
  <si>
    <t>EXTEND: Error credenciales incorrectas</t>
  </si>
  <si>
    <t>EXTEND: Bloquear usuario inactivo</t>
  </si>
  <si>
    <t>INCLUDE: Validar e invalidar token</t>
  </si>
  <si>
    <t>Recuperar contraseña (email 30 min)</t>
  </si>
  <si>
    <t>INCLUDE: Enviar email con enlace</t>
  </si>
  <si>
    <t>EXTEND: Error correo no registrado</t>
  </si>
  <si>
    <t>Registrar usuario (ADMIN + bcrypt)</t>
  </si>
  <si>
    <t>INCLUDE: Cifrar contraseña bcrypt</t>
  </si>
  <si>
    <t>INCLUDE: Validar correo duplicado</t>
  </si>
  <si>
    <t>Editar usuario + log auditoría</t>
  </si>
  <si>
    <t>INCLUDE: Registrar log auditoría</t>
  </si>
  <si>
    <t>Actualizar estado usuario</t>
  </si>
  <si>
    <t>INCLUDE: Log cambio de estado</t>
  </si>
  <si>
    <t>EXTEND: Bloquear acceso inmediato</t>
  </si>
  <si>
    <t>Cambiar contraseña propia</t>
  </si>
  <si>
    <t>INCLUDE: Validar contraseña actual</t>
  </si>
  <si>
    <t>INCLUDE: Cifrar nueva con bcrypt</t>
  </si>
  <si>
    <t>Registrar producto (barras, stock, venc.)</t>
  </si>
  <si>
    <t>Listar productos (paginado + filtros)</t>
  </si>
  <si>
    <t>Editar producto + log auditoría</t>
  </si>
  <si>
    <t>Eliminar producto + confirmación</t>
  </si>
  <si>
    <t>Alertas vencimiento y stock mínimo</t>
  </si>
  <si>
    <t>Registrar venta (QR/efectivo/tarjeta)</t>
  </si>
  <si>
    <t>Listar ventas (filtros)</t>
  </si>
  <si>
    <t>Consultar detalle de venta</t>
  </si>
  <si>
    <t>Anular venta (solo ADMIN)</t>
  </si>
  <si>
    <t>Cierre de caja diario</t>
  </si>
  <si>
    <t>Iniciar pedido vía chatbot WA</t>
  </si>
  <si>
    <t>Confirmar y enviar pedido (chatbot)</t>
  </si>
  <si>
    <t>Registrar pedido en sistema</t>
  </si>
  <si>
    <t>Actualizar estado pedido</t>
  </si>
  <si>
    <t>Notificar estado al cliente (WA)</t>
  </si>
  <si>
    <t>Reporte gráfico de ventas</t>
  </si>
  <si>
    <t>Reporte impreso ventas PDF/Excel</t>
  </si>
  <si>
    <t>Reporte impreso productos</t>
  </si>
  <si>
    <t>Reporte domicilios + exportar</t>
  </si>
  <si>
    <t>CONTROL STORE — VELOCITY &amp; BURNDOWN  ·  Story Points por Sprint</t>
  </si>
  <si>
    <t>Actualizar al final de cada Sprint Review  ·  Total Story Points: 177</t>
  </si>
  <si>
    <t>SP PLANIFICADOS</t>
  </si>
  <si>
    <t>SP COMPLETADOS</t>
  </si>
  <si>
    <t>VELOCIDAD</t>
  </si>
  <si>
    <t>SPRINT GOAL</t>
  </si>
  <si>
    <t>EP-01 Usuarios</t>
  </si>
  <si>
    <t>Autenticación + gestión de usuarios completa</t>
  </si>
  <si>
    <t>EP-02 Inventario</t>
  </si>
  <si>
    <t>CRUD inventario + alertas automáticas</t>
  </si>
  <si>
    <t>EP-03 Ventas/Caja</t>
  </si>
  <si>
    <t>Registro ventas + cierre de caja</t>
  </si>
  <si>
    <t>EP-04 Domicilios</t>
  </si>
  <si>
    <t>Chatbot WhatsApp + pedidos + notificaciones</t>
  </si>
  <si>
    <t>EP-05 Reportes</t>
  </si>
  <si>
    <t>Reportes gráficos + exportación PDF/Excel</t>
  </si>
  <si>
    <t>Sprint 6</t>
  </si>
  <si>
    <t>Integración+Deploy</t>
  </si>
  <si>
    <t>Sistema desplegado + documentación final</t>
  </si>
  <si>
    <t>TOTAL</t>
  </si>
  <si>
    <t>BURNDOWN CHART — Story Points Restantes (actualizar semanalmente)</t>
  </si>
  <si>
    <t>SEMANA</t>
  </si>
  <si>
    <t>FECHA</t>
  </si>
  <si>
    <t>SP IDEALES
RESTANTES</t>
  </si>
  <si>
    <t>SP REALES
RESTANTES</t>
  </si>
  <si>
    <t>DIFERENCIA</t>
  </si>
  <si>
    <t>NOTA</t>
  </si>
  <si>
    <t>S1</t>
  </si>
  <si>
    <t>01-03 Jul</t>
  </si>
  <si>
    <t>Inicio del proyecto</t>
  </si>
  <si>
    <t>S2</t>
  </si>
  <si>
    <t>06-10 Jul</t>
  </si>
  <si>
    <t>RF01 en progreso</t>
  </si>
  <si>
    <t>S3</t>
  </si>
  <si>
    <t>13-17 Jul</t>
  </si>
  <si>
    <t>RF02-RF03 completados</t>
  </si>
  <si>
    <t>S4</t>
  </si>
  <si>
    <t>20-24 Jul</t>
  </si>
  <si>
    <t>Sprint 1→2</t>
  </si>
  <si>
    <t>Review S1 · Inicio Sprint 2</t>
  </si>
  <si>
    <t>S5</t>
  </si>
  <si>
    <t>27-31 Jul</t>
  </si>
  <si>
    <t>RF08-RF09</t>
  </si>
  <si>
    <t>S6</t>
  </si>
  <si>
    <t>03-07 Ago</t>
  </si>
  <si>
    <t>RF10-RF11</t>
  </si>
  <si>
    <t>S7</t>
  </si>
  <si>
    <t>10-14 Ago</t>
  </si>
  <si>
    <t>Sprint 2→3</t>
  </si>
  <si>
    <t>Review S2 · Inicio Sprint 3</t>
  </si>
  <si>
    <t>S8</t>
  </si>
  <si>
    <t>17-21 Ago</t>
  </si>
  <si>
    <t>RF14-RF15</t>
  </si>
  <si>
    <t>S9</t>
  </si>
  <si>
    <t>24-28 Ago</t>
  </si>
  <si>
    <t>RF16-RF17</t>
  </si>
  <si>
    <t>S10</t>
  </si>
  <si>
    <t>31Ago-04Sep</t>
  </si>
  <si>
    <t>Sprint 3→4</t>
  </si>
  <si>
    <t>Review S3 · Inicio Sprint 4</t>
  </si>
  <si>
    <t>S11</t>
  </si>
  <si>
    <t>07-11 Sep</t>
  </si>
  <si>
    <t>RF19-RF20</t>
  </si>
  <si>
    <t>S12</t>
  </si>
  <si>
    <t>14-18 Sep</t>
  </si>
  <si>
    <t>RF21-RF22</t>
  </si>
  <si>
    <t>S13</t>
  </si>
  <si>
    <t>21-25 Sep</t>
  </si>
  <si>
    <t>Sprint 4→5</t>
  </si>
  <si>
    <t>Review S4 · Inicio Sprint 5</t>
  </si>
  <si>
    <t>S14</t>
  </si>
  <si>
    <t>28Sep-02Oct</t>
  </si>
  <si>
    <t>RF26-RF27</t>
  </si>
  <si>
    <t>S15</t>
  </si>
  <si>
    <t>05-09 Oct</t>
  </si>
  <si>
    <t>RF28-RF29</t>
  </si>
  <si>
    <t>S16</t>
  </si>
  <si>
    <t>12-16 Oct</t>
  </si>
  <si>
    <t>Sprint 5→6</t>
  </si>
  <si>
    <t>Review S5 · Inicio Sprint 6</t>
  </si>
  <si>
    <t>S17</t>
  </si>
  <si>
    <t>19Oct-06Nov</t>
  </si>
  <si>
    <t>Pruebas de integración</t>
  </si>
  <si>
    <t>S18</t>
  </si>
  <si>
    <t>09Nov-04Dic</t>
  </si>
  <si>
    <t>Despliegue + documentación</t>
  </si>
  <si>
    <t>S19</t>
  </si>
  <si>
    <t>07-18 Dic</t>
  </si>
  <si>
    <t>Entrega final 18 Dic 2026</t>
  </si>
  <si>
    <t>CONTRATO DE PRESTACIÓN DE SERVICIOS DE DESARROLLO DE SOFTWARE</t>
  </si>
  <si>
    <t>Proyecto: CONTROL STORE  ·  Entre Autoservicio Ayuelal y el Equipo de Desarrollo SENA</t>
  </si>
  <si>
    <t>Entre los suscritos, HUMBERTO MORENO, mayor de edad, identificado como se indica en sus documentos personales, obrando en calidad de PROPIETARIO del establecimiento de comercio AUTOSERVICIO AYUELAL, ubicado en la Calle 48 sur #87-6, Barrio Las Margaritas, Bogotá, D.C., quien para efectos del presente contrato se denominará EL CLIENTE; y de otra parte, el EQUIPO DE DESARROLLO DE SOFTWARE conformado por BRAYAN ALEXANDER TORRES PEÑA, DAVID ORTEGÓN y STIVEN VARGAS, todos en calidad de Desarrolladores Full Stack y aprendices del programa Tecnología en Análisis y Desarrollo de Software (ADSO) del Servicio Nacional de Aprendizaje — SENA, quienes para efectos del presente contrato se denominarán EL EQUIPO DE DESARROLLO, se acuerda celebrar el presente CONTRATO DE PRESTACIÓN DE SERVICIOS DE DESARROLLO DE SOFTWARE, el cual se regirá por las siguientes cláusulas:</t>
  </si>
  <si>
    <t>CLÁUSULA PRIMERA — OBJETO DEL CONTRATO</t>
  </si>
  <si>
    <t>EL EQUIPO DE DESARROLLO se compromete a diseñar, desarrollar, implementar y entregar a EL CLIENTE el sistema de información web denominado CONTROL STORE, conforme a la Especificación de Requisitos de Software (SRS) versión 0300 del 21/06/2026, el cual comprende los siguientes módulos: (1) Gestión de Usuarios, (2) Gestión de Inventario, (3) Gestión de Ventas y Caja, (4) Gestión de Domicilios mediante chatbot de WhatsApp Business, y (5) Reportes gráficos e impresos.</t>
  </si>
  <si>
    <t>CLÁUSULA SEGUNDA — METODOLOGÍA DE TRABAJO</t>
  </si>
  <si>
    <t>El desarrollo del sistema se realizará bajo la metodología ágil SCRUM, organizada en 6 Sprints de aproximadamente 3 semanas cada uno (a excepción del Sprint final de cierre). Al término de cada Sprint se realizará una reunión de Sprint Review con EL CLIENTE para presentar el incremento funcional desarrollado y recoger su retroalimentación, la cual será incorporada en los siguientes ciclos de desarrollo.</t>
  </si>
  <si>
    <t>CLÁUSULA TERCERA — PLAZO DE EJECUCIÓN</t>
  </si>
  <si>
    <t>El presente contrato tendrá una duración de SEIS (6) MESES CALENDARIO, comprendidos entre el 1 de julio de 2026 y el 18 de diciembre de 2026, fecha en la cual se realizará la entrega final del sistema, su documentación técnica y de usuario, y el cierre formal del proyecto.</t>
  </si>
  <si>
    <t>CLÁUSULA CUARTA — OBLIGACIONES DE EL EQUIPO DE DESARROLLO</t>
  </si>
  <si>
    <t>•  Desarrollar el sistema conforme a los requisitos funcionales y no funcionales descritos en el documento SRS.</t>
  </si>
  <si>
    <t>•  Cumplir con el cronograma de Sprints definido y comunicar oportunamente cualquier desviación del mismo.</t>
  </si>
  <si>
    <t>•  Realizar las reuniones de Sprint Review y recoger la retroalimentación de EL CLIENTE en cada una de ellas.</t>
  </si>
  <si>
    <t>•  Entregar el código fuente, la documentación técnica (ISO/IEC 25010) y el manual de usuario al finalizar el proyecto.</t>
  </si>
  <si>
    <t>•  Garantizar la confidencialidad de la información del negocio (inventario, ventas, clientes) a la que tenga acceso.</t>
  </si>
  <si>
    <t>•  Realizar la capacitación necesaria a EL CLIENTE y a su personal para el uso correcto del sistema entregado.</t>
  </si>
  <si>
    <t>CLÁUSULA QUINTA — OBLIGACIONES DE EL CLIENTE</t>
  </si>
  <si>
    <t>•  Suministrar oportunamente la información necesaria del negocio para el correcto desarrollo del sistema.</t>
  </si>
  <si>
    <t>•  Asistir a las reuniones de Sprint Review y de validación de requisitos programadas por EL EQUIPO DE DESARROLLO.</t>
  </si>
  <si>
    <t>•  Proveer acceso a una cuenta de WhatsApp Business activa y aprobada para la integración del chatbot de domicilios.</t>
  </si>
  <si>
    <t>•  Validar y aprobar formalmente cada incremento funcional entregado al final de cada Sprint.</t>
  </si>
  <si>
    <t>•  Disponer del computador de facturación y lector de código de barras existentes para las pruebas de integración.</t>
  </si>
  <si>
    <t>CLÁUSULA SEXTA — VALOR DEL CONTRATO Y FORMA DE PAGO</t>
  </si>
  <si>
    <t>El presente contrato se desarrolla en el marco de un proyecto formativo del programa Tecnología en Análisis y Desarrollo de Software del SENA, por lo cual NO genera contraprestación económica directa de EL CLIENTE hacia EL EQUIPO DE DESARROLLO. El valor estimado del proyecto, calculado para fines académicos y de presupuesto, se detalla en el documento anexo de Presupuesto Real del proyecto.</t>
  </si>
  <si>
    <t>CLÁUSULA SÉPTIMA — PROPIEDAD INTELECTUAL</t>
  </si>
  <si>
    <t>Una vez finalizado el proyecto y realizada la entrega formal, el código fuente, la base de datos y toda la documentación del sistema CONTROL STORE serán propiedad de EL CLIENTE, quien podrá usarlos, modificarlos y ampliarlos libremente para el funcionamiento de su negocio Autoservicio Ayuelal.</t>
  </si>
  <si>
    <t>CLÁUSULA OCTAVA — CONFIDENCIALIDAD</t>
  </si>
  <si>
    <t>EL EQUIPO DE DESARROLLO se obliga a mantener estricta confidencialidad sobre la información comercial, financiera y de clientes del Autoservicio Ayuelal a la que tenga acceso durante el desarrollo del proyecto, conforme a la Ley 1581 de 2012 de Protección de Datos Personales de Colombia.</t>
  </si>
  <si>
    <t>CLÁUSULA NOVENA — SUPERVISIÓN ACADÉMICA</t>
  </si>
  <si>
    <t>El presente proyecto contará con la supervisión y acompañamiento de un Instructor del SENA, quien actuará como Product Owner delegado, validando el Product Backlog, las prioridades del proyecto y los entregables de cada Sprint.</t>
  </si>
  <si>
    <t>CLÁUSULA DÉCIMA — TERMINACIÓN Y MODIFICACIONES</t>
  </si>
  <si>
    <t>Cualquier modificación al alcance, plazo o condiciones del presente contrato deberá acordarse por escrito entre las partes. El contrato podrá darse por terminado de mutuo acuerdo o por incumplimiento grave de las obligaciones aquí establecidas por cualquiera de las partes.</t>
  </si>
  <si>
    <t>Para constancia, se firma el presente contrato en Bogotá, D.C., a los _____ días del mes de _______ de 2026.</t>
  </si>
  <si>
    <t>_________________________________</t>
  </si>
  <si>
    <t>HUMBERTO MORENO</t>
  </si>
  <si>
    <t>Propietario — Autoservicio Ayuelal (EL CLIENTE)</t>
  </si>
  <si>
    <t>BRAYAN ALEXANDER TORRES PEÑA — Desarrollador Full Stack (Scrum Master)</t>
  </si>
  <si>
    <t>DAVID ORTEGÓN — Desarrollador Full Stack</t>
  </si>
  <si>
    <t>STIVEN VARGAS — Desarrollador Full Stack</t>
  </si>
  <si>
    <t>INSTRUCTOR SENA — Supervisor Académico (Product Owner delegado)</t>
  </si>
  <si>
    <t>Brayan Torres — Frontend web (Blade + Bootstrap) · API R</t>
  </si>
  <si>
    <t xml:space="preserve">David Ortegón — Base de Datos · Backend · Seguridad </t>
  </si>
  <si>
    <t>REUNIONES SCRUM — CONTROL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</si>
</sst>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0\)"/>
    <numFmt numFmtId="165" formatCode="\$#,##0"/>
    <numFmt numFmtId="166" formatCode="0.0%"/>
  </numFmts>
  <fonts count="50" x14ac:knownFonts="1">
    <font>
      <sz val="11"/>
      <color theme="1"/>
      <name val="Calibri"/>
      <family val="2"/>
      <charset val="1"/>
    </font>
    <font>
      <b/>
      <sz val="12"/>
      <color rgb="FFFFFFFF"/>
      <name val="Arial"/>
      <charset val="1"/>
    </font>
    <font>
      <b/>
      <sz val="9"/>
      <color rgb="FFFFFFFF"/>
      <name val="Arial"/>
      <charset val="1"/>
    </font>
    <font>
      <b/>
      <sz val="9"/>
      <color rgb="FF000000"/>
      <name val="Arial"/>
      <charset val="1"/>
    </font>
    <font>
      <b/>
      <sz val="10"/>
      <color rgb="FF000000"/>
      <name val="Arial"/>
      <charset val="1"/>
    </font>
    <font>
      <i/>
      <sz val="8"/>
      <color rgb="FF606060"/>
      <name val="Arial"/>
      <charset val="1"/>
    </font>
    <font>
      <b/>
      <sz val="8"/>
      <color rgb="FFFFFFFF"/>
      <name val="Arial"/>
      <charset val="1"/>
    </font>
    <font>
      <b/>
      <sz val="8"/>
      <color rgb="FF000000"/>
      <name val="Arial"/>
      <charset val="1"/>
    </font>
    <font>
      <sz val="8"/>
      <color rgb="FF808080"/>
      <name val="Arial"/>
      <charset val="1"/>
    </font>
    <font>
      <sz val="9"/>
      <color rgb="FF000000"/>
      <name val="Arial"/>
      <charset val="1"/>
    </font>
    <font>
      <sz val="8"/>
      <color rgb="FF000000"/>
      <name val="Arial"/>
      <charset val="1"/>
    </font>
    <font>
      <i/>
      <sz val="8"/>
      <color rgb="FF808080"/>
      <name val="Arial"/>
      <charset val="1"/>
    </font>
    <font>
      <b/>
      <sz val="8"/>
      <color rgb="FF808080"/>
      <name val="Arial"/>
      <charset val="1"/>
    </font>
    <font>
      <i/>
      <sz val="8"/>
      <color rgb="FFAAAAAA"/>
      <name val="Arial"/>
      <charset val="1"/>
    </font>
    <font>
      <sz val="8"/>
      <color rgb="FFAAAAAA"/>
      <name val="Arial"/>
      <charset val="1"/>
    </font>
    <font>
      <sz val="9"/>
      <color rgb="FF000000"/>
      <name val="Calibri"/>
      <charset val="1"/>
    </font>
    <font>
      <i/>
      <sz val="8"/>
      <color rgb="FF000000"/>
      <name val="Calibri"/>
      <charset val="1"/>
    </font>
    <font>
      <sz val="10"/>
      <color rgb="FF000000"/>
      <name val="Calibri"/>
      <charset val="1"/>
    </font>
    <font>
      <b/>
      <sz val="9"/>
      <color rgb="FF000000"/>
      <name val="Calibri"/>
      <charset val="1"/>
    </font>
    <font>
      <b/>
      <sz val="10"/>
      <color rgb="FFFFFFFF"/>
      <name val="Calibri"/>
      <charset val="1"/>
    </font>
    <font>
      <b/>
      <sz val="10"/>
      <color rgb="FF000000"/>
      <name val="Calibri"/>
      <charset val="1"/>
    </font>
    <font>
      <sz val="8"/>
      <color rgb="FF000000"/>
      <name val="Calibri"/>
      <charset val="1"/>
    </font>
    <font>
      <b/>
      <sz val="11"/>
      <color rgb="FFFFFFFF"/>
      <name val="Calibri"/>
      <charset val="1"/>
    </font>
    <font>
      <b/>
      <sz val="9"/>
      <color rgb="FFFFFFFF"/>
      <name val="Calibri"/>
      <charset val="1"/>
    </font>
    <font>
      <b/>
      <sz val="8"/>
      <color rgb="FFD8D8D8"/>
      <name val="Arial"/>
      <charset val="1"/>
    </font>
    <font>
      <b/>
      <sz val="7"/>
      <color rgb="FF808080"/>
      <name val="Arial"/>
      <charset val="1"/>
    </font>
    <font>
      <b/>
      <sz val="7"/>
      <color rgb="FFFFFFFF"/>
      <name val="Arial"/>
      <charset val="1"/>
    </font>
    <font>
      <sz val="7"/>
      <color rgb="FF808080"/>
      <name val="Arial"/>
      <charset val="1"/>
    </font>
    <font>
      <b/>
      <sz val="8"/>
      <color rgb="FF000000"/>
      <name val="Calibri"/>
      <charset val="1"/>
    </font>
    <font>
      <b/>
      <i/>
      <sz val="8"/>
      <color rgb="FF000000"/>
      <name val="Calibri"/>
      <charset val="1"/>
    </font>
    <font>
      <b/>
      <sz val="10"/>
      <color rgb="FFFFFFFF"/>
      <name val="Arial"/>
      <charset val="1"/>
    </font>
    <font>
      <i/>
      <sz val="8"/>
      <color rgb="FF000000"/>
      <name val="Arial"/>
      <charset val="1"/>
    </font>
    <font>
      <b/>
      <sz val="11"/>
      <color rgb="FFFFFFFF"/>
      <name val="Arial"/>
      <charset val="1"/>
    </font>
    <font>
      <b/>
      <sz val="14"/>
      <color rgb="FFFFFFFF"/>
      <name val="Calibri"/>
      <charset val="1"/>
    </font>
    <font>
      <b/>
      <sz val="12"/>
      <color rgb="FF000000"/>
      <name val="Calibri"/>
      <charset val="1"/>
    </font>
    <font>
      <b/>
      <sz val="11"/>
      <color rgb="FF000000"/>
      <name val="Calibri"/>
      <charset val="1"/>
    </font>
    <font>
      <b/>
      <sz val="14"/>
      <color rgb="FF000000"/>
      <name val="Calibri"/>
      <charset val="1"/>
    </font>
    <font>
      <b/>
      <sz val="13"/>
      <color rgb="FFFFFFFF"/>
      <name val="Calibri"/>
      <charset val="1"/>
    </font>
    <font>
      <b/>
      <sz val="8"/>
      <color rgb="FFFFFFFF"/>
      <name val="Calibri"/>
      <charset val="1"/>
    </font>
    <font>
      <i/>
      <sz val="9"/>
      <color rgb="FF000000"/>
      <name val="Calibri"/>
      <charset val="1"/>
    </font>
    <font>
      <b/>
      <sz val="13"/>
      <color rgb="FF000000"/>
      <name val="Calibri"/>
      <charset val="1"/>
    </font>
    <font>
      <sz val="8"/>
      <color rgb="FFFFFFFF"/>
      <name val="Calibri"/>
      <charset val="1"/>
    </font>
    <font>
      <b/>
      <sz val="14"/>
      <color rgb="FFFFFFFF"/>
      <name val="Times New Roman"/>
      <family val="1"/>
    </font>
    <font>
      <b/>
      <sz val="10"/>
      <color rgb="FFFFFFFF"/>
      <name val="Times New Roman"/>
      <family val="1"/>
    </font>
    <font>
      <b/>
      <sz val="10"/>
      <color rgb="FF000000"/>
      <name val="Times New Roman"/>
      <family val="1"/>
    </font>
    <font>
      <sz val="10"/>
      <color rgb="FF000000"/>
      <name val="Times New Roman"/>
      <family val="1"/>
    </font>
    <font>
      <sz val="11"/>
      <color theme="1"/>
      <name val="Times New Roman"/>
      <family val="1"/>
    </font>
    <font>
      <b/>
      <sz val="9"/>
      <color rgb="FFFFFFFF"/>
      <name val="Times New Roman"/>
      <family val="1"/>
    </font>
    <font>
      <b/>
      <sz val="9"/>
      <color rgb="FF000000"/>
      <name val="Times New Roman"/>
      <family val="1"/>
    </font>
    <font>
      <sz val="9"/>
      <color rgb="FF000000"/>
      <name val="Times New Roman"/>
      <family val="1"/>
    </font>
  </fonts>
  <fills count="20">
    <fill>
      <patternFill patternType="none"/>
    </fill>
    <fill>
      <patternFill patternType="gray125"/>
    </fill>
    <fill>
      <patternFill patternType="solid">
        <fgColor rgb="FF1A1A1A"/>
        <bgColor rgb="FF333333"/>
      </patternFill>
    </fill>
    <fill>
      <patternFill patternType="solid">
        <fgColor rgb="FF606060"/>
        <bgColor rgb="FF666666"/>
      </patternFill>
    </fill>
    <fill>
      <patternFill patternType="solid">
        <fgColor rgb="FFF0F0F0"/>
        <bgColor rgb="FFEDEDED"/>
      </patternFill>
    </fill>
    <fill>
      <patternFill patternType="solid">
        <fgColor rgb="FFFFFFFF"/>
        <bgColor rgb="FFF8F8F8"/>
      </patternFill>
    </fill>
    <fill>
      <patternFill patternType="solid">
        <fgColor rgb="FFAAAAAA"/>
        <bgColor rgb="FFB3B3B3"/>
      </patternFill>
    </fill>
    <fill>
      <patternFill patternType="solid">
        <fgColor rgb="FF404040"/>
        <bgColor rgb="FF4D4D4D"/>
      </patternFill>
    </fill>
    <fill>
      <patternFill patternType="solid">
        <fgColor rgb="FFD8D8D8"/>
        <bgColor rgb="FFD9D9D9"/>
      </patternFill>
    </fill>
    <fill>
      <patternFill patternType="solid">
        <fgColor rgb="FFF8F8F8"/>
        <bgColor rgb="FFF5F5F5"/>
      </patternFill>
    </fill>
    <fill>
      <patternFill patternType="solid">
        <fgColor rgb="FFEDEDED"/>
        <bgColor rgb="FFF0F0F0"/>
      </patternFill>
    </fill>
    <fill>
      <patternFill patternType="solid">
        <fgColor rgb="FFD9D9D9"/>
        <bgColor rgb="FFD8D8D8"/>
      </patternFill>
    </fill>
    <fill>
      <patternFill patternType="solid">
        <fgColor rgb="FF000000"/>
        <bgColor rgb="FF1A1A1A"/>
      </patternFill>
    </fill>
    <fill>
      <patternFill patternType="solid">
        <fgColor rgb="FF4D4D4D"/>
        <bgColor rgb="FF404040"/>
      </patternFill>
    </fill>
    <fill>
      <patternFill patternType="solid">
        <fgColor rgb="FF808080"/>
        <bgColor rgb="FF666666"/>
      </patternFill>
    </fill>
    <fill>
      <patternFill patternType="solid">
        <fgColor rgb="FFF5F5F5"/>
        <bgColor rgb="FFF8F8F8"/>
      </patternFill>
    </fill>
    <fill>
      <patternFill patternType="solid">
        <fgColor rgb="FF333333"/>
        <bgColor rgb="FF404040"/>
      </patternFill>
    </fill>
    <fill>
      <patternFill patternType="solid">
        <fgColor rgb="FF666666"/>
        <bgColor rgb="FF606060"/>
      </patternFill>
    </fill>
    <fill>
      <patternFill patternType="solid">
        <fgColor rgb="FFB3B3B3"/>
        <bgColor rgb="FFAAAAAA"/>
      </patternFill>
    </fill>
    <fill>
      <patternFill patternType="solid">
        <fgColor theme="0"/>
        <bgColor rgb="FF1A1A1A"/>
      </patternFill>
    </fill>
  </fills>
  <borders count="16">
    <border>
      <left/>
      <right/>
      <top/>
      <bottom/>
      <diagonal/>
    </border>
    <border>
      <left style="thin">
        <color rgb="FFD8D8D8"/>
      </left>
      <right style="thin">
        <color rgb="FFD8D8D8"/>
      </right>
      <top style="thin">
        <color rgb="FFD8D8D8"/>
      </top>
      <bottom style="thin">
        <color rgb="FFD8D8D8"/>
      </bottom>
      <diagonal/>
    </border>
    <border>
      <left style="medium">
        <color rgb="FF808080"/>
      </left>
      <right style="medium">
        <color rgb="FF808080"/>
      </right>
      <top style="medium">
        <color rgb="FF808080"/>
      </top>
      <bottom style="medium">
        <color rgb="FF808080"/>
      </bottom>
      <diagonal/>
    </border>
    <border>
      <left style="thin">
        <color rgb="FFB3B3B3"/>
      </left>
      <right style="thin">
        <color rgb="FFB3B3B3"/>
      </right>
      <top style="thin">
        <color rgb="FFB3B3B3"/>
      </top>
      <bottom style="thin">
        <color rgb="FFB3B3B3"/>
      </bottom>
      <diagonal/>
    </border>
    <border>
      <left style="thin">
        <color rgb="FFB3B3B3"/>
      </left>
      <right/>
      <top style="thin">
        <color rgb="FFB3B3B3"/>
      </top>
      <bottom style="thin">
        <color rgb="FFB3B3B3"/>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medium">
        <color rgb="FF808080"/>
      </left>
      <right style="thin">
        <color rgb="FFD8D8D8"/>
      </right>
      <top style="medium">
        <color rgb="FF808080"/>
      </top>
      <bottom style="medium">
        <color rgb="FF808080"/>
      </bottom>
      <diagonal/>
    </border>
    <border>
      <left style="thin">
        <color rgb="FFD8D8D8"/>
      </left>
      <right/>
      <top style="thin">
        <color rgb="FFD8D8D8"/>
      </top>
      <bottom style="thin">
        <color rgb="FFD8D8D8"/>
      </bottom>
      <diagonal/>
    </border>
    <border>
      <left style="medium">
        <color rgb="FFFFFFFF"/>
      </left>
      <right/>
      <top style="medium">
        <color rgb="FFFFFFFF"/>
      </top>
      <bottom style="medium">
        <color rgb="FFFFFFFF"/>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s>
  <cellStyleXfs count="1">
    <xf numFmtId="0" fontId="0" fillId="0" borderId="0"/>
  </cellStyleXfs>
  <cellXfs count="262">
    <xf numFmtId="0" fontId="0" fillId="0" borderId="0" xfId="0"/>
    <xf numFmtId="0" fontId="15" fillId="5" borderId="4" xfId="0" applyFont="1" applyFill="1" applyBorder="1" applyAlignment="1">
      <alignment horizontal="left" vertical="center"/>
    </xf>
    <xf numFmtId="0" fontId="15" fillId="10" borderId="4" xfId="0" applyFont="1" applyFill="1" applyBorder="1" applyAlignment="1">
      <alignment horizontal="left" vertical="center"/>
    </xf>
    <xf numFmtId="0" fontId="23" fillId="12" borderId="4" xfId="0" applyFont="1" applyFill="1" applyBorder="1" applyAlignment="1">
      <alignment horizontal="left" vertical="center"/>
    </xf>
    <xf numFmtId="0" fontId="22" fillId="13" borderId="4" xfId="0" applyFont="1" applyFill="1" applyBorder="1" applyAlignment="1">
      <alignment horizontal="left" vertical="center"/>
    </xf>
    <xf numFmtId="0" fontId="22" fillId="12" borderId="6" xfId="0" applyFont="1" applyFill="1" applyBorder="1" applyAlignment="1">
      <alignment horizontal="left" vertical="center"/>
    </xf>
    <xf numFmtId="0" fontId="20" fillId="10" borderId="4" xfId="0" applyFont="1" applyFill="1" applyBorder="1" applyAlignment="1">
      <alignment horizontal="left" vertical="center"/>
    </xf>
    <xf numFmtId="0" fontId="17" fillId="5" borderId="0" xfId="0" applyFont="1" applyFill="1"/>
    <xf numFmtId="0" fontId="19" fillId="12" borderId="5" xfId="0" applyFont="1" applyFill="1" applyBorder="1" applyAlignment="1">
      <alignment horizontal="left" vertical="center"/>
    </xf>
    <xf numFmtId="0" fontId="18" fillId="11" borderId="4" xfId="0" applyFont="1" applyFill="1" applyBorder="1" applyAlignment="1">
      <alignment horizontal="left" vertical="center"/>
    </xf>
    <xf numFmtId="0" fontId="2" fillId="7" borderId="1" xfId="0" applyFont="1" applyFill="1" applyBorder="1" applyAlignment="1">
      <alignment horizontal="left" vertical="center"/>
    </xf>
    <xf numFmtId="0" fontId="5" fillId="5" borderId="1" xfId="0" applyFont="1" applyFill="1" applyBorder="1" applyAlignment="1">
      <alignment horizontal="left" vertical="center"/>
    </xf>
    <xf numFmtId="0" fontId="3" fillId="4" borderId="1" xfId="0" applyFont="1" applyFill="1" applyBorder="1" applyAlignment="1">
      <alignment horizontal="center" vertical="center"/>
    </xf>
    <xf numFmtId="0" fontId="2" fillId="3" borderId="1" xfId="0" applyFont="1" applyFill="1" applyBorder="1" applyAlignment="1">
      <alignment horizontal="left" vertical="center"/>
    </xf>
    <xf numFmtId="0" fontId="1" fillId="2" borderId="1" xfId="0" applyFont="1" applyFill="1" applyBorder="1" applyAlignment="1">
      <alignment horizontal="left" vertical="center"/>
    </xf>
    <xf numFmtId="0" fontId="3" fillId="4"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5" borderId="1" xfId="0" applyFont="1" applyFill="1" applyBorder="1" applyAlignment="1">
      <alignment horizontal="left" vertical="center"/>
    </xf>
    <xf numFmtId="0" fontId="2" fillId="3" borderId="2" xfId="0" applyFont="1" applyFill="1" applyBorder="1" applyAlignment="1">
      <alignment horizontal="center" vertical="center"/>
    </xf>
    <xf numFmtId="0" fontId="2" fillId="6" borderId="2" xfId="0" applyFont="1" applyFill="1" applyBorder="1" applyAlignment="1">
      <alignment horizontal="center" vertical="center"/>
    </xf>
    <xf numFmtId="0" fontId="6" fillId="3"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3" fillId="8" borderId="1" xfId="0" applyFont="1" applyFill="1" applyBorder="1" applyAlignment="1">
      <alignment horizontal="left" vertical="center"/>
    </xf>
    <xf numFmtId="0" fontId="0" fillId="8" borderId="1" xfId="0" applyFill="1" applyBorder="1"/>
    <xf numFmtId="0" fontId="8" fillId="5" borderId="1" xfId="0" applyFont="1" applyFill="1" applyBorder="1" applyAlignment="1">
      <alignment horizontal="center" vertical="center"/>
    </xf>
    <xf numFmtId="0" fontId="9" fillId="5" borderId="1" xfId="0" applyFont="1" applyFill="1" applyBorder="1" applyAlignment="1">
      <alignment horizontal="left" vertical="center"/>
    </xf>
    <xf numFmtId="0" fontId="10" fillId="5" borderId="1" xfId="0" applyFont="1" applyFill="1" applyBorder="1" applyAlignment="1">
      <alignment horizontal="center" vertical="center"/>
    </xf>
    <xf numFmtId="164" fontId="10" fillId="5" borderId="1" xfId="0" applyNumberFormat="1" applyFont="1" applyFill="1" applyBorder="1" applyAlignment="1">
      <alignment horizontal="right" vertical="center"/>
    </xf>
    <xf numFmtId="164" fontId="9" fillId="5" borderId="1" xfId="0" applyNumberFormat="1" applyFont="1" applyFill="1" applyBorder="1" applyAlignment="1">
      <alignment horizontal="right" vertical="center"/>
    </xf>
    <xf numFmtId="0" fontId="11" fillId="5" borderId="1" xfId="0" applyFont="1" applyFill="1" applyBorder="1" applyAlignment="1">
      <alignment horizontal="left" vertical="center"/>
    </xf>
    <xf numFmtId="0" fontId="8" fillId="9" borderId="1" xfId="0" applyFont="1" applyFill="1" applyBorder="1" applyAlignment="1">
      <alignment horizontal="center" vertical="center"/>
    </xf>
    <xf numFmtId="0" fontId="9" fillId="9" borderId="1" xfId="0" applyFont="1" applyFill="1" applyBorder="1" applyAlignment="1">
      <alignment horizontal="left" vertical="center"/>
    </xf>
    <xf numFmtId="0" fontId="10" fillId="9" borderId="1" xfId="0" applyFont="1" applyFill="1" applyBorder="1" applyAlignment="1">
      <alignment horizontal="center" vertical="center"/>
    </xf>
    <xf numFmtId="164" fontId="10" fillId="9" borderId="1" xfId="0" applyNumberFormat="1" applyFont="1" applyFill="1" applyBorder="1" applyAlignment="1">
      <alignment horizontal="right" vertical="center"/>
    </xf>
    <xf numFmtId="164" fontId="9" fillId="9" borderId="1" xfId="0" applyNumberFormat="1" applyFont="1" applyFill="1" applyBorder="1" applyAlignment="1">
      <alignment horizontal="right" vertical="center"/>
    </xf>
    <xf numFmtId="0" fontId="11" fillId="9" borderId="1" xfId="0" applyFont="1" applyFill="1" applyBorder="1" applyAlignment="1">
      <alignment horizontal="left" vertical="center"/>
    </xf>
    <xf numFmtId="0" fontId="12" fillId="4" borderId="1" xfId="0" applyFont="1" applyFill="1" applyBorder="1" applyAlignment="1">
      <alignment horizontal="center" vertical="center"/>
    </xf>
    <xf numFmtId="0" fontId="3" fillId="4" borderId="1" xfId="0" applyFont="1" applyFill="1" applyBorder="1" applyAlignment="1">
      <alignment horizontal="left" vertical="center"/>
    </xf>
    <xf numFmtId="0" fontId="0" fillId="4" borderId="1" xfId="0" applyFill="1" applyBorder="1"/>
    <xf numFmtId="164" fontId="3" fillId="4" borderId="2" xfId="0" applyNumberFormat="1" applyFont="1" applyFill="1" applyBorder="1" applyAlignment="1">
      <alignment horizontal="right" vertical="center"/>
    </xf>
    <xf numFmtId="0" fontId="11" fillId="4" borderId="1" xfId="0" applyFont="1" applyFill="1" applyBorder="1" applyAlignment="1">
      <alignment horizontal="left" vertical="center"/>
    </xf>
    <xf numFmtId="0" fontId="13"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15" fillId="10" borderId="3" xfId="0" applyFont="1" applyFill="1" applyBorder="1" applyAlignment="1">
      <alignment horizontal="center" vertical="center"/>
    </xf>
    <xf numFmtId="0" fontId="15" fillId="10" borderId="3" xfId="0" applyFont="1" applyFill="1" applyBorder="1" applyAlignment="1">
      <alignment horizontal="left" vertical="center"/>
    </xf>
    <xf numFmtId="165" fontId="15" fillId="10" borderId="3" xfId="0" applyNumberFormat="1" applyFont="1" applyFill="1" applyBorder="1" applyAlignment="1">
      <alignment horizontal="center" vertical="center"/>
    </xf>
    <xf numFmtId="0" fontId="16" fillId="10" borderId="3" xfId="0" applyFont="1" applyFill="1" applyBorder="1" applyAlignment="1">
      <alignment horizontal="left" vertical="center"/>
    </xf>
    <xf numFmtId="0" fontId="15" fillId="5" borderId="3" xfId="0" applyFont="1" applyFill="1" applyBorder="1" applyAlignment="1">
      <alignment horizontal="center" vertical="center"/>
    </xf>
    <xf numFmtId="0" fontId="15" fillId="5" borderId="3" xfId="0" applyFont="1" applyFill="1" applyBorder="1" applyAlignment="1">
      <alignment horizontal="left" vertical="center"/>
    </xf>
    <xf numFmtId="165" fontId="15" fillId="5" borderId="3" xfId="0" applyNumberFormat="1" applyFont="1" applyFill="1" applyBorder="1" applyAlignment="1">
      <alignment horizontal="center" vertical="center"/>
    </xf>
    <xf numFmtId="0" fontId="16" fillId="5" borderId="3" xfId="0" applyFont="1" applyFill="1" applyBorder="1" applyAlignment="1">
      <alignment horizontal="left" vertical="center"/>
    </xf>
    <xf numFmtId="0" fontId="17" fillId="11" borderId="3" xfId="0" applyFont="1" applyFill="1" applyBorder="1" applyAlignment="1">
      <alignment horizontal="left" vertical="center"/>
    </xf>
    <xf numFmtId="165" fontId="18" fillId="11" borderId="3" xfId="0" applyNumberFormat="1" applyFont="1" applyFill="1" applyBorder="1" applyAlignment="1">
      <alignment horizontal="center" vertical="center"/>
    </xf>
    <xf numFmtId="0" fontId="16" fillId="11" borderId="3" xfId="0" applyFont="1" applyFill="1" applyBorder="1" applyAlignment="1">
      <alignment horizontal="left" vertical="center"/>
    </xf>
    <xf numFmtId="0" fontId="19" fillId="12" borderId="3" xfId="0" applyFont="1" applyFill="1" applyBorder="1" applyAlignment="1">
      <alignment horizontal="center" vertical="center"/>
    </xf>
    <xf numFmtId="0" fontId="17" fillId="5" borderId="0" xfId="0" applyFont="1" applyFill="1"/>
    <xf numFmtId="165" fontId="20" fillId="10" borderId="3" xfId="0" applyNumberFormat="1" applyFont="1" applyFill="1" applyBorder="1" applyAlignment="1">
      <alignment horizontal="center" vertical="center"/>
    </xf>
    <xf numFmtId="0" fontId="17" fillId="10" borderId="3" xfId="0" applyFont="1" applyFill="1" applyBorder="1" applyAlignment="1">
      <alignment horizontal="left" vertical="center"/>
    </xf>
    <xf numFmtId="0" fontId="21" fillId="10" borderId="3" xfId="0" applyFont="1" applyFill="1" applyBorder="1" applyAlignment="1">
      <alignment horizontal="left" vertical="center"/>
    </xf>
    <xf numFmtId="165" fontId="22" fillId="12" borderId="6" xfId="0" applyNumberFormat="1" applyFont="1" applyFill="1" applyBorder="1" applyAlignment="1">
      <alignment horizontal="center" vertical="center"/>
    </xf>
    <xf numFmtId="0" fontId="17" fillId="12" borderId="6" xfId="0" applyFont="1" applyFill="1" applyBorder="1" applyAlignment="1">
      <alignment horizontal="left" vertical="center"/>
    </xf>
    <xf numFmtId="0" fontId="17" fillId="12" borderId="3" xfId="0" applyFont="1" applyFill="1" applyBorder="1" applyAlignment="1">
      <alignment horizontal="left" vertical="center"/>
    </xf>
    <xf numFmtId="0" fontId="23" fillId="12" borderId="3" xfId="0" applyFont="1" applyFill="1" applyBorder="1" applyAlignment="1">
      <alignment horizontal="center" vertical="center"/>
    </xf>
    <xf numFmtId="0" fontId="18" fillId="10" borderId="3" xfId="0" applyFont="1" applyFill="1" applyBorder="1" applyAlignment="1">
      <alignment horizontal="center" vertical="center"/>
    </xf>
    <xf numFmtId="166" fontId="15" fillId="10" borderId="3" xfId="0" applyNumberFormat="1" applyFont="1" applyFill="1" applyBorder="1" applyAlignment="1">
      <alignment horizontal="center" vertical="center"/>
    </xf>
    <xf numFmtId="0" fontId="18" fillId="5" borderId="3" xfId="0" applyFont="1" applyFill="1" applyBorder="1" applyAlignment="1">
      <alignment horizontal="center" vertical="center"/>
    </xf>
    <xf numFmtId="166" fontId="15" fillId="5" borderId="3" xfId="0" applyNumberFormat="1" applyFont="1" applyFill="1" applyBorder="1" applyAlignment="1">
      <alignment horizontal="center" vertical="center"/>
    </xf>
    <xf numFmtId="165" fontId="18" fillId="10" borderId="3" xfId="0" applyNumberFormat="1" applyFont="1" applyFill="1" applyBorder="1" applyAlignment="1">
      <alignment horizontal="center" vertical="center"/>
    </xf>
    <xf numFmtId="166" fontId="18" fillId="10" borderId="3" xfId="0" applyNumberFormat="1" applyFont="1" applyFill="1" applyBorder="1" applyAlignment="1">
      <alignment horizontal="center" vertical="center"/>
    </xf>
    <xf numFmtId="0" fontId="17" fillId="0" borderId="0" xfId="0" applyFont="1"/>
    <xf numFmtId="0" fontId="17" fillId="0" borderId="0" xfId="0" applyFont="1" applyAlignment="1">
      <alignment horizontal="left" vertical="center"/>
    </xf>
    <xf numFmtId="0" fontId="7" fillId="4"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5" fillId="8"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6" fillId="14" borderId="1" xfId="0" applyFont="1" applyFill="1" applyBorder="1" applyAlignment="1">
      <alignment horizontal="center" vertical="center"/>
    </xf>
    <xf numFmtId="0" fontId="10" fillId="8" borderId="1" xfId="0" applyFont="1" applyFill="1" applyBorder="1" applyAlignment="1">
      <alignment horizontal="center" vertical="center"/>
    </xf>
    <xf numFmtId="0" fontId="26" fillId="14" borderId="1" xfId="0" applyFont="1" applyFill="1" applyBorder="1" applyAlignment="1">
      <alignment horizontal="center" vertical="center"/>
    </xf>
    <xf numFmtId="0" fontId="0" fillId="8" borderId="1" xfId="0" applyFill="1" applyBorder="1" applyAlignment="1">
      <alignment horizontal="center" vertical="center"/>
    </xf>
    <xf numFmtId="0" fontId="0" fillId="5" borderId="1" xfId="0" applyFill="1" applyBorder="1"/>
    <xf numFmtId="0" fontId="27" fillId="5"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0" fillId="5" borderId="1" xfId="0" applyFill="1" applyBorder="1" applyAlignment="1">
      <alignment horizontal="center" vertical="center"/>
    </xf>
    <xf numFmtId="0" fontId="0" fillId="9" borderId="1" xfId="0" applyFill="1" applyBorder="1"/>
    <xf numFmtId="0" fontId="27" fillId="9" borderId="1" xfId="0" applyFont="1" applyFill="1" applyBorder="1" applyAlignment="1">
      <alignment horizontal="center" vertical="center"/>
    </xf>
    <xf numFmtId="0" fontId="10" fillId="9" borderId="1" xfId="0" applyFont="1" applyFill="1" applyBorder="1" applyAlignment="1">
      <alignment horizontal="left" vertical="center" wrapText="1"/>
    </xf>
    <xf numFmtId="0" fontId="6" fillId="3" borderId="1" xfId="0" applyFont="1" applyFill="1" applyBorder="1" applyAlignment="1">
      <alignment horizontal="center" vertical="center"/>
    </xf>
    <xf numFmtId="0" fontId="26" fillId="3" borderId="1" xfId="0" applyFont="1" applyFill="1" applyBorder="1" applyAlignment="1">
      <alignment horizontal="center" vertical="center"/>
    </xf>
    <xf numFmtId="0" fontId="0" fillId="9" borderId="1" xfId="0" applyFill="1" applyBorder="1" applyAlignment="1">
      <alignment horizontal="center" vertical="center"/>
    </xf>
    <xf numFmtId="0" fontId="6"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28" fillId="10" borderId="3" xfId="0" applyFont="1" applyFill="1" applyBorder="1" applyAlignment="1">
      <alignment horizontal="center" vertical="center"/>
    </xf>
    <xf numFmtId="0" fontId="29" fillId="10" borderId="3" xfId="0" applyFont="1" applyFill="1" applyBorder="1" applyAlignment="1">
      <alignment horizontal="left" vertical="center"/>
    </xf>
    <xf numFmtId="0" fontId="21" fillId="10" borderId="3" xfId="0" applyFont="1" applyFill="1" applyBorder="1" applyAlignment="1">
      <alignment horizontal="center" vertical="center"/>
    </xf>
    <xf numFmtId="0" fontId="23" fillId="14" borderId="3" xfId="0" applyFont="1" applyFill="1" applyBorder="1" applyAlignment="1">
      <alignment horizontal="center" vertical="center"/>
    </xf>
    <xf numFmtId="0" fontId="23" fillId="10" borderId="3" xfId="0" applyFont="1" applyFill="1" applyBorder="1" applyAlignment="1">
      <alignment horizontal="center" vertical="center"/>
    </xf>
    <xf numFmtId="0" fontId="0" fillId="0" borderId="7" xfId="0" applyBorder="1"/>
    <xf numFmtId="0" fontId="0" fillId="0" borderId="8" xfId="0" applyBorder="1"/>
    <xf numFmtId="0" fontId="7" fillId="4" borderId="1" xfId="0" applyFont="1" applyFill="1" applyBorder="1"/>
    <xf numFmtId="0" fontId="3"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3" fillId="9" borderId="1" xfId="0" applyFont="1" applyFill="1" applyBorder="1" applyAlignment="1">
      <alignment horizontal="left" vertical="center"/>
    </xf>
    <xf numFmtId="0" fontId="5" fillId="9" borderId="1" xfId="0" applyFont="1" applyFill="1" applyBorder="1" applyAlignment="1">
      <alignment horizontal="left" vertical="center" wrapText="1"/>
    </xf>
    <xf numFmtId="164" fontId="30" fillId="2" borderId="2" xfId="0" applyNumberFormat="1" applyFont="1" applyFill="1" applyBorder="1" applyAlignment="1">
      <alignment horizontal="right" vertical="center"/>
    </xf>
    <xf numFmtId="0" fontId="0" fillId="2" borderId="1" xfId="0" applyFill="1" applyBorder="1"/>
    <xf numFmtId="164" fontId="3" fillId="9" borderId="2" xfId="0" applyNumberFormat="1" applyFont="1" applyFill="1" applyBorder="1" applyAlignment="1">
      <alignment horizontal="right" vertical="center"/>
    </xf>
    <xf numFmtId="0" fontId="31" fillId="9" borderId="1" xfId="0" applyFont="1" applyFill="1" applyBorder="1" applyAlignment="1">
      <alignment horizontal="center" vertical="center"/>
    </xf>
    <xf numFmtId="164" fontId="30" fillId="3" borderId="2" xfId="0" applyNumberFormat="1" applyFont="1" applyFill="1" applyBorder="1" applyAlignment="1">
      <alignment horizontal="right" vertical="center"/>
    </xf>
    <xf numFmtId="0" fontId="0" fillId="3" borderId="1" xfId="0" applyFill="1" applyBorder="1"/>
    <xf numFmtId="164" fontId="30" fillId="6" borderId="2" xfId="0" applyNumberFormat="1" applyFont="1" applyFill="1" applyBorder="1" applyAlignment="1">
      <alignment horizontal="right" vertical="center"/>
    </xf>
    <xf numFmtId="0" fontId="0" fillId="6" borderId="1" xfId="0" applyFill="1" applyBorder="1"/>
    <xf numFmtId="164" fontId="4" fillId="4" borderId="2" xfId="0" applyNumberFormat="1" applyFont="1" applyFill="1" applyBorder="1" applyAlignment="1">
      <alignment horizontal="right" vertical="center"/>
    </xf>
    <xf numFmtId="164" fontId="4" fillId="9" borderId="2" xfId="0" applyNumberFormat="1" applyFont="1" applyFill="1" applyBorder="1" applyAlignment="1">
      <alignment horizontal="right" vertical="center"/>
    </xf>
    <xf numFmtId="164" fontId="1" fillId="2" borderId="2" xfId="0" applyNumberFormat="1" applyFont="1" applyFill="1" applyBorder="1" applyAlignment="1">
      <alignment horizontal="right" vertical="center"/>
    </xf>
    <xf numFmtId="0" fontId="10" fillId="9" borderId="1" xfId="0" applyFont="1" applyFill="1" applyBorder="1" applyAlignment="1">
      <alignment horizontal="left" vertical="center"/>
    </xf>
    <xf numFmtId="0" fontId="10" fillId="5" borderId="1" xfId="0" applyFont="1" applyFill="1" applyBorder="1" applyAlignment="1">
      <alignment horizontal="left" vertical="center"/>
    </xf>
    <xf numFmtId="164" fontId="3" fillId="5" borderId="1" xfId="0" applyNumberFormat="1" applyFont="1" applyFill="1" applyBorder="1" applyAlignment="1">
      <alignment horizontal="right" vertical="center"/>
    </xf>
    <xf numFmtId="0" fontId="7" fillId="9" borderId="1" xfId="0" applyFont="1" applyFill="1" applyBorder="1" applyAlignment="1">
      <alignment horizontal="center" vertical="center"/>
    </xf>
    <xf numFmtId="164" fontId="32" fillId="2" borderId="2" xfId="0" applyNumberFormat="1" applyFont="1" applyFill="1" applyBorder="1" applyAlignment="1">
      <alignment horizontal="right" vertical="center"/>
    </xf>
    <xf numFmtId="0" fontId="9" fillId="5" borderId="1" xfId="0" applyFont="1" applyFill="1" applyBorder="1" applyAlignment="1">
      <alignment horizontal="center" vertical="center"/>
    </xf>
    <xf numFmtId="0" fontId="9" fillId="9" borderId="1" xfId="0" applyFont="1" applyFill="1" applyBorder="1" applyAlignment="1">
      <alignment horizontal="center" vertical="center"/>
    </xf>
    <xf numFmtId="164" fontId="1" fillId="2" borderId="2" xfId="0" applyNumberFormat="1" applyFont="1" applyFill="1" applyBorder="1" applyAlignment="1">
      <alignment horizontal="center" vertical="center"/>
    </xf>
    <xf numFmtId="0" fontId="8" fillId="8" borderId="1" xfId="0" applyFont="1" applyFill="1" applyBorder="1" applyAlignment="1">
      <alignment horizontal="center" vertical="center"/>
    </xf>
    <xf numFmtId="0" fontId="3" fillId="8" borderId="2" xfId="0" applyFont="1" applyFill="1" applyBorder="1" applyAlignment="1">
      <alignment horizontal="center" vertical="center"/>
    </xf>
    <xf numFmtId="0" fontId="34" fillId="10" borderId="3" xfId="0" applyFont="1" applyFill="1" applyBorder="1" applyAlignment="1">
      <alignment horizontal="center" vertical="center" wrapText="1"/>
    </xf>
    <xf numFmtId="0" fontId="35" fillId="10" borderId="3" xfId="0" applyFont="1" applyFill="1" applyBorder="1" applyAlignment="1">
      <alignment horizontal="left" vertical="center" wrapText="1"/>
    </xf>
    <xf numFmtId="0" fontId="17" fillId="10" borderId="3" xfId="0" applyFont="1" applyFill="1" applyBorder="1" applyAlignment="1">
      <alignment horizontal="left" vertical="center" wrapText="1"/>
    </xf>
    <xf numFmtId="0" fontId="17" fillId="10" borderId="3" xfId="0" applyFont="1" applyFill="1" applyBorder="1" applyAlignment="1">
      <alignment horizontal="center" vertical="center" wrapText="1"/>
    </xf>
    <xf numFmtId="0" fontId="36" fillId="5" borderId="3" xfId="0" applyFont="1" applyFill="1" applyBorder="1" applyAlignment="1">
      <alignment horizontal="center" vertical="center"/>
    </xf>
    <xf numFmtId="0" fontId="34" fillId="5" borderId="3" xfId="0" applyFont="1" applyFill="1" applyBorder="1" applyAlignment="1">
      <alignment horizontal="center" vertical="center" wrapText="1"/>
    </xf>
    <xf numFmtId="0" fontId="35" fillId="5" borderId="3" xfId="0" applyFont="1" applyFill="1" applyBorder="1" applyAlignment="1">
      <alignment horizontal="left" vertical="center" wrapText="1"/>
    </xf>
    <xf numFmtId="0" fontId="17" fillId="5" borderId="3" xfId="0" applyFont="1" applyFill="1" applyBorder="1" applyAlignment="1">
      <alignment horizontal="left" vertical="center" wrapText="1"/>
    </xf>
    <xf numFmtId="0" fontId="17" fillId="5" borderId="3" xfId="0" applyFont="1" applyFill="1" applyBorder="1" applyAlignment="1">
      <alignment horizontal="center" vertical="center" wrapText="1"/>
    </xf>
    <xf numFmtId="0" fontId="15" fillId="15" borderId="3" xfId="0" applyFont="1" applyFill="1" applyBorder="1" applyAlignment="1">
      <alignment horizontal="center" vertical="center"/>
    </xf>
    <xf numFmtId="0" fontId="38" fillId="16" borderId="3" xfId="0" applyFont="1" applyFill="1" applyBorder="1" applyAlignment="1">
      <alignment horizontal="center" vertical="center" wrapText="1"/>
    </xf>
    <xf numFmtId="0" fontId="38" fillId="13" borderId="3" xfId="0" applyFont="1" applyFill="1" applyBorder="1" applyAlignment="1">
      <alignment horizontal="center" vertical="center" wrapText="1"/>
    </xf>
    <xf numFmtId="0" fontId="0" fillId="2" borderId="3" xfId="0" applyFill="1" applyBorder="1"/>
    <xf numFmtId="0" fontId="0" fillId="10" borderId="3" xfId="0" applyFill="1" applyBorder="1"/>
    <xf numFmtId="0" fontId="21" fillId="15" borderId="3" xfId="0" applyFont="1" applyFill="1" applyBorder="1" applyAlignment="1">
      <alignment horizontal="center" vertical="center"/>
    </xf>
    <xf numFmtId="0" fontId="38" fillId="12" borderId="3" xfId="0" applyFont="1" applyFill="1" applyBorder="1" applyAlignment="1">
      <alignment horizontal="center" vertical="center"/>
    </xf>
    <xf numFmtId="0" fontId="22" fillId="12" borderId="3" xfId="0" applyFont="1" applyFill="1" applyBorder="1" applyAlignment="1">
      <alignment horizontal="left" vertical="center" wrapText="1"/>
    </xf>
    <xf numFmtId="0" fontId="15" fillId="0" borderId="3" xfId="0" applyFont="1" applyBorder="1" applyAlignment="1">
      <alignment horizontal="center" vertical="center"/>
    </xf>
    <xf numFmtId="0" fontId="40" fillId="5" borderId="6" xfId="0" applyFont="1" applyFill="1" applyBorder="1" applyAlignment="1">
      <alignment horizontal="center" vertical="center"/>
    </xf>
    <xf numFmtId="0" fontId="41" fillId="12" borderId="12" xfId="0" applyFont="1" applyFill="1" applyBorder="1" applyAlignment="1">
      <alignment horizontal="center" vertical="center"/>
    </xf>
    <xf numFmtId="0" fontId="0" fillId="5" borderId="12" xfId="0" applyFill="1" applyBorder="1"/>
    <xf numFmtId="0" fontId="38" fillId="16" borderId="3" xfId="0" applyFont="1" applyFill="1" applyBorder="1" applyAlignment="1">
      <alignment horizontal="center" vertical="center"/>
    </xf>
    <xf numFmtId="0" fontId="23" fillId="16" borderId="3" xfId="0" applyFont="1" applyFill="1" applyBorder="1" applyAlignment="1">
      <alignment horizontal="center" vertical="center"/>
    </xf>
    <xf numFmtId="0" fontId="20" fillId="0" borderId="3" xfId="0" applyFont="1" applyBorder="1" applyAlignment="1">
      <alignment horizontal="left" vertical="center" wrapText="1"/>
    </xf>
    <xf numFmtId="0" fontId="41" fillId="16" borderId="12" xfId="0" applyFont="1" applyFill="1" applyBorder="1" applyAlignment="1">
      <alignment horizontal="center" vertical="center"/>
    </xf>
    <xf numFmtId="0" fontId="0" fillId="15" borderId="12" xfId="0" applyFill="1" applyBorder="1"/>
    <xf numFmtId="0" fontId="15" fillId="0" borderId="3" xfId="0" applyFont="1" applyBorder="1" applyAlignment="1">
      <alignment horizontal="left" vertical="center" wrapText="1"/>
    </xf>
    <xf numFmtId="0" fontId="38" fillId="14" borderId="3" xfId="0" applyFont="1" applyFill="1" applyBorder="1" applyAlignment="1">
      <alignment horizontal="center" vertical="center"/>
    </xf>
    <xf numFmtId="0" fontId="18" fillId="15" borderId="3" xfId="0" applyFont="1" applyFill="1" applyBorder="1" applyAlignment="1">
      <alignment horizontal="center" vertical="center"/>
    </xf>
    <xf numFmtId="0" fontId="18" fillId="0" borderId="3" xfId="0" applyFont="1" applyBorder="1" applyAlignment="1">
      <alignment horizontal="left" vertical="center" wrapText="1"/>
    </xf>
    <xf numFmtId="0" fontId="41" fillId="14" borderId="12" xfId="0" applyFont="1" applyFill="1" applyBorder="1" applyAlignment="1">
      <alignment horizontal="center" vertical="center"/>
    </xf>
    <xf numFmtId="0" fontId="41" fillId="13" borderId="12" xfId="0" applyFont="1" applyFill="1" applyBorder="1" applyAlignment="1">
      <alignment horizontal="center" vertical="center"/>
    </xf>
    <xf numFmtId="0" fontId="21" fillId="11" borderId="3" xfId="0" applyFont="1" applyFill="1" applyBorder="1" applyAlignment="1">
      <alignment horizontal="center" vertical="center"/>
    </xf>
    <xf numFmtId="0" fontId="41" fillId="17" borderId="12" xfId="0" applyFont="1" applyFill="1" applyBorder="1" applyAlignment="1">
      <alignment horizontal="center" vertical="center"/>
    </xf>
    <xf numFmtId="0" fontId="35" fillId="0" borderId="3" xfId="0" applyFont="1" applyBorder="1" applyAlignment="1">
      <alignment horizontal="left" vertical="center" wrapText="1"/>
    </xf>
    <xf numFmtId="0" fontId="23" fillId="12" borderId="3" xfId="0" applyFont="1" applyFill="1" applyBorder="1" applyAlignment="1">
      <alignment horizontal="center" vertical="center" wrapText="1"/>
    </xf>
    <xf numFmtId="0" fontId="18" fillId="11" borderId="3" xfId="0" applyFont="1" applyFill="1" applyBorder="1" applyAlignment="1">
      <alignment horizontal="center" vertical="center"/>
    </xf>
    <xf numFmtId="0" fontId="18" fillId="10" borderId="3" xfId="0" applyFont="1" applyFill="1" applyBorder="1" applyAlignment="1">
      <alignment horizontal="left" vertical="center" wrapText="1"/>
    </xf>
    <xf numFmtId="0" fontId="41" fillId="16" borderId="3" xfId="0" applyFont="1" applyFill="1" applyBorder="1" applyAlignment="1">
      <alignment horizontal="center" vertical="center"/>
    </xf>
    <xf numFmtId="0" fontId="21" fillId="0" borderId="3" xfId="0" applyFont="1" applyBorder="1" applyAlignment="1">
      <alignment horizontal="left" vertical="center" wrapText="1"/>
    </xf>
    <xf numFmtId="0" fontId="21" fillId="0" borderId="3" xfId="0" applyFont="1" applyBorder="1" applyAlignment="1">
      <alignment horizontal="center" vertical="center" wrapText="1"/>
    </xf>
    <xf numFmtId="0" fontId="15" fillId="18" borderId="3" xfId="0" applyFont="1" applyFill="1" applyBorder="1" applyAlignment="1">
      <alignment horizontal="center" vertical="center"/>
    </xf>
    <xf numFmtId="0" fontId="34" fillId="5" borderId="6" xfId="0" applyFont="1" applyFill="1" applyBorder="1" applyAlignment="1">
      <alignment horizontal="center" vertical="center"/>
    </xf>
    <xf numFmtId="0" fontId="15" fillId="11" borderId="3" xfId="0" applyFont="1" applyFill="1" applyBorder="1" applyAlignment="1">
      <alignment horizontal="center" vertical="center"/>
    </xf>
    <xf numFmtId="0" fontId="15" fillId="5" borderId="3" xfId="0" applyFont="1" applyFill="1" applyBorder="1" applyAlignment="1">
      <alignment horizontal="left" vertical="center" wrapText="1"/>
    </xf>
    <xf numFmtId="0" fontId="18" fillId="18" borderId="3" xfId="0" applyFont="1" applyFill="1" applyBorder="1" applyAlignment="1">
      <alignment horizontal="center" vertical="center"/>
    </xf>
    <xf numFmtId="0" fontId="19" fillId="12" borderId="6" xfId="0" applyFont="1" applyFill="1" applyBorder="1" applyAlignment="1">
      <alignment horizontal="center" vertical="center" wrapText="1"/>
    </xf>
    <xf numFmtId="0" fontId="19" fillId="14" borderId="6" xfId="0" applyFont="1" applyFill="1" applyBorder="1" applyAlignment="1">
      <alignment horizontal="center" vertical="center" wrapText="1"/>
    </xf>
    <xf numFmtId="0" fontId="19" fillId="17" borderId="6"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6"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5" fillId="10" borderId="3" xfId="0" applyFont="1" applyFill="1" applyBorder="1" applyAlignment="1">
      <alignment horizontal="left" vertical="center" wrapText="1"/>
    </xf>
    <xf numFmtId="0" fontId="0" fillId="5" borderId="3" xfId="0" applyFill="1" applyBorder="1" applyAlignment="1">
      <alignment horizontal="center" vertical="center"/>
    </xf>
    <xf numFmtId="0" fontId="37" fillId="16" borderId="3" xfId="0" applyFont="1" applyFill="1" applyBorder="1" applyAlignment="1">
      <alignment horizontal="center" vertical="center"/>
    </xf>
    <xf numFmtId="0" fontId="19" fillId="12" borderId="3" xfId="0" applyFont="1" applyFill="1" applyBorder="1" applyAlignment="1">
      <alignment horizontal="left" vertical="center"/>
    </xf>
    <xf numFmtId="0" fontId="17" fillId="10" borderId="3" xfId="0" applyFont="1" applyFill="1" applyBorder="1" applyAlignment="1">
      <alignment horizontal="center" vertical="center"/>
    </xf>
    <xf numFmtId="9" fontId="17" fillId="10" borderId="3" xfId="0" applyNumberFormat="1" applyFont="1" applyFill="1" applyBorder="1" applyAlignment="1">
      <alignment horizontal="center" vertical="center"/>
    </xf>
    <xf numFmtId="0" fontId="17" fillId="5" borderId="3" xfId="0" applyFont="1" applyFill="1" applyBorder="1" applyAlignment="1">
      <alignment horizontal="center" vertical="center"/>
    </xf>
    <xf numFmtId="9" fontId="17" fillId="5" borderId="3" xfId="0" applyNumberFormat="1" applyFont="1" applyFill="1" applyBorder="1" applyAlignment="1">
      <alignment horizontal="center" vertical="center"/>
    </xf>
    <xf numFmtId="0" fontId="17" fillId="5" borderId="3" xfId="0" applyFont="1" applyFill="1" applyBorder="1" applyAlignment="1">
      <alignment horizontal="left" vertical="center"/>
    </xf>
    <xf numFmtId="9" fontId="19" fillId="12" borderId="3" xfId="0" applyNumberFormat="1" applyFont="1" applyFill="1" applyBorder="1" applyAlignment="1">
      <alignment horizontal="center" vertical="center"/>
    </xf>
    <xf numFmtId="0" fontId="23" fillId="13" borderId="3" xfId="0" applyFont="1" applyFill="1" applyBorder="1" applyAlignment="1">
      <alignment horizontal="center" vertical="center" wrapText="1"/>
    </xf>
    <xf numFmtId="0" fontId="15" fillId="15" borderId="3" xfId="0" applyFont="1" applyFill="1" applyBorder="1" applyAlignment="1">
      <alignment horizontal="left" vertical="center"/>
    </xf>
    <xf numFmtId="0" fontId="15" fillId="0" borderId="0" xfId="0" applyFont="1" applyAlignment="1">
      <alignment horizontal="left" vertical="center"/>
    </xf>
    <xf numFmtId="0" fontId="18" fillId="0" borderId="0" xfId="0" applyFont="1" applyAlignment="1">
      <alignment horizontal="left" vertical="center"/>
    </xf>
    <xf numFmtId="0" fontId="18" fillId="10" borderId="4" xfId="0" applyFont="1" applyFill="1" applyBorder="1" applyAlignment="1">
      <alignment horizontal="left" vertical="center"/>
    </xf>
    <xf numFmtId="0" fontId="16" fillId="5" borderId="0" xfId="0" applyFont="1" applyFill="1" applyAlignment="1">
      <alignment horizontal="left" vertical="center"/>
    </xf>
    <xf numFmtId="0" fontId="7" fillId="4" borderId="1" xfId="0" applyFont="1" applyFill="1" applyBorder="1" applyAlignment="1">
      <alignment horizontal="center" vertical="center"/>
    </xf>
    <xf numFmtId="0" fontId="30" fillId="2" borderId="1" xfId="0" applyFont="1" applyFill="1" applyBorder="1" applyAlignment="1">
      <alignment horizontal="left" vertical="center"/>
    </xf>
    <xf numFmtId="0" fontId="5" fillId="5"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2" fillId="2" borderId="9" xfId="0" applyFont="1" applyFill="1" applyBorder="1" applyAlignment="1">
      <alignment horizontal="right" vertical="center"/>
    </xf>
    <xf numFmtId="0" fontId="5" fillId="9" borderId="1" xfId="0" applyFont="1" applyFill="1" applyBorder="1" applyAlignment="1">
      <alignment horizontal="left" vertical="center"/>
    </xf>
    <xf numFmtId="0" fontId="30" fillId="3" borderId="1" xfId="0" applyFont="1" applyFill="1" applyBorder="1" applyAlignment="1">
      <alignment horizontal="left" vertical="center"/>
    </xf>
    <xf numFmtId="0" fontId="2" fillId="3" borderId="9" xfId="0" applyFont="1" applyFill="1" applyBorder="1" applyAlignment="1">
      <alignment horizontal="right" vertical="center"/>
    </xf>
    <xf numFmtId="0" fontId="30" fillId="6" borderId="1" xfId="0" applyFont="1" applyFill="1" applyBorder="1" applyAlignment="1">
      <alignment horizontal="left" vertical="center"/>
    </xf>
    <xf numFmtId="0" fontId="2" fillId="6" borderId="9" xfId="0" applyFont="1" applyFill="1" applyBorder="1" applyAlignment="1">
      <alignment horizontal="right" vertical="center"/>
    </xf>
    <xf numFmtId="0" fontId="3" fillId="4" borderId="1" xfId="0" applyFont="1" applyFill="1" applyBorder="1" applyAlignment="1">
      <alignment horizontal="right" vertical="center"/>
    </xf>
    <xf numFmtId="0" fontId="3" fillId="9" borderId="1" xfId="0" applyFont="1" applyFill="1" applyBorder="1" applyAlignment="1">
      <alignment horizontal="right" vertical="center"/>
    </xf>
    <xf numFmtId="0" fontId="30" fillId="2" borderId="9" xfId="0" applyFont="1" applyFill="1" applyBorder="1" applyAlignment="1">
      <alignment horizontal="right" vertical="center"/>
    </xf>
    <xf numFmtId="0" fontId="5" fillId="9" borderId="10" xfId="0" applyFont="1" applyFill="1" applyBorder="1" applyAlignment="1">
      <alignment horizontal="left" vertical="center" wrapText="1"/>
    </xf>
    <xf numFmtId="0" fontId="5" fillId="9" borderId="10" xfId="0" applyFont="1" applyFill="1" applyBorder="1" applyAlignment="1">
      <alignment horizontal="left" vertical="center"/>
    </xf>
    <xf numFmtId="0" fontId="5" fillId="5" borderId="10" xfId="0" applyFont="1" applyFill="1" applyBorder="1" applyAlignment="1">
      <alignment horizontal="left" vertical="center"/>
    </xf>
    <xf numFmtId="0" fontId="33" fillId="12" borderId="5" xfId="0" applyFont="1" applyFill="1" applyBorder="1" applyAlignment="1">
      <alignment horizontal="center" vertical="center"/>
    </xf>
    <xf numFmtId="0" fontId="19" fillId="13" borderId="4" xfId="0" applyFont="1" applyFill="1" applyBorder="1" applyAlignment="1">
      <alignment horizontal="left" vertical="center"/>
    </xf>
    <xf numFmtId="0" fontId="19" fillId="12" borderId="4" xfId="0" applyFont="1" applyFill="1" applyBorder="1" applyAlignment="1">
      <alignment horizontal="left" vertical="center"/>
    </xf>
    <xf numFmtId="0" fontId="37" fillId="12" borderId="5" xfId="0" applyFont="1" applyFill="1" applyBorder="1" applyAlignment="1">
      <alignment horizontal="center" vertical="center"/>
    </xf>
    <xf numFmtId="0" fontId="23" fillId="16" borderId="11" xfId="0" applyFont="1" applyFill="1" applyBorder="1" applyAlignment="1">
      <alignment horizontal="center" vertical="center"/>
    </xf>
    <xf numFmtId="0" fontId="23" fillId="13" borderId="11" xfId="0" applyFont="1" applyFill="1" applyBorder="1" applyAlignment="1">
      <alignment horizontal="center" vertical="center"/>
    </xf>
    <xf numFmtId="0" fontId="22" fillId="2" borderId="5" xfId="0" applyFont="1" applyFill="1" applyBorder="1" applyAlignment="1">
      <alignment horizontal="left" vertical="center"/>
    </xf>
    <xf numFmtId="0" fontId="39" fillId="10" borderId="0" xfId="0" applyFont="1" applyFill="1" applyAlignment="1">
      <alignment horizontal="left" vertical="center" wrapText="1"/>
    </xf>
    <xf numFmtId="0" fontId="15" fillId="5" borderId="13" xfId="0" applyFont="1" applyFill="1" applyBorder="1" applyAlignment="1">
      <alignment horizontal="left" vertical="top" wrapText="1"/>
    </xf>
    <xf numFmtId="0" fontId="22" fillId="16" borderId="5" xfId="0" applyFont="1" applyFill="1" applyBorder="1" applyAlignment="1">
      <alignment horizontal="left" vertical="center"/>
    </xf>
    <xf numFmtId="0" fontId="39" fillId="5" borderId="13" xfId="0" applyFont="1" applyFill="1" applyBorder="1" applyAlignment="1">
      <alignment horizontal="left" vertical="top" wrapText="1"/>
    </xf>
    <xf numFmtId="0" fontId="19" fillId="19" borderId="3" xfId="0" applyFont="1" applyFill="1" applyBorder="1" applyAlignment="1">
      <alignment horizontal="center" vertical="center"/>
    </xf>
    <xf numFmtId="0" fontId="42" fillId="12" borderId="5" xfId="0" applyFont="1" applyFill="1" applyBorder="1" applyAlignment="1">
      <alignment horizontal="center" vertical="center"/>
    </xf>
    <xf numFmtId="0" fontId="43" fillId="13" borderId="4" xfId="0" applyFont="1" applyFill="1" applyBorder="1" applyAlignment="1">
      <alignment horizontal="left" vertical="center"/>
    </xf>
    <xf numFmtId="0" fontId="43" fillId="12" borderId="3" xfId="0" applyFont="1" applyFill="1" applyBorder="1" applyAlignment="1">
      <alignment horizontal="center" vertical="center"/>
    </xf>
    <xf numFmtId="0" fontId="44" fillId="10" borderId="3" xfId="0" applyFont="1" applyFill="1" applyBorder="1" applyAlignment="1">
      <alignment horizontal="center" vertical="center" wrapText="1"/>
    </xf>
    <xf numFmtId="0" fontId="44" fillId="10" borderId="3" xfId="0" applyFont="1" applyFill="1" applyBorder="1" applyAlignment="1">
      <alignment horizontal="left" vertical="center" wrapText="1"/>
    </xf>
    <xf numFmtId="0" fontId="45" fillId="10" borderId="3" xfId="0" applyFont="1" applyFill="1" applyBorder="1" applyAlignment="1">
      <alignment horizontal="center" vertical="center" wrapText="1"/>
    </xf>
    <xf numFmtId="0" fontId="45" fillId="10" borderId="3" xfId="0" applyFont="1" applyFill="1" applyBorder="1" applyAlignment="1">
      <alignment horizontal="left" vertical="center" wrapText="1"/>
    </xf>
    <xf numFmtId="0" fontId="44" fillId="11" borderId="3" xfId="0" applyFont="1" applyFill="1" applyBorder="1" applyAlignment="1">
      <alignment horizontal="center" vertical="center" wrapText="1"/>
    </xf>
    <xf numFmtId="0" fontId="44" fillId="11" borderId="3" xfId="0" applyFont="1" applyFill="1" applyBorder="1" applyAlignment="1">
      <alignment horizontal="left" vertical="center" wrapText="1"/>
    </xf>
    <xf numFmtId="0" fontId="45" fillId="11" borderId="3" xfId="0" applyFont="1" applyFill="1" applyBorder="1" applyAlignment="1">
      <alignment horizontal="center" vertical="center" wrapText="1"/>
    </xf>
    <xf numFmtId="0" fontId="45" fillId="11" borderId="3" xfId="0" applyFont="1" applyFill="1" applyBorder="1" applyAlignment="1">
      <alignment horizontal="left" vertical="center" wrapText="1"/>
    </xf>
    <xf numFmtId="0" fontId="46" fillId="0" borderId="0" xfId="0" applyFont="1"/>
    <xf numFmtId="0" fontId="43" fillId="12" borderId="4" xfId="0" applyFont="1" applyFill="1" applyBorder="1" applyAlignment="1">
      <alignment horizontal="left" vertical="center"/>
    </xf>
    <xf numFmtId="0" fontId="47" fillId="13" borderId="3" xfId="0" applyFont="1" applyFill="1" applyBorder="1" applyAlignment="1">
      <alignment horizontal="center" vertical="center"/>
    </xf>
    <xf numFmtId="0" fontId="48" fillId="15" borderId="4" xfId="0" applyFont="1" applyFill="1" applyBorder="1" applyAlignment="1">
      <alignment horizontal="left" vertical="center"/>
    </xf>
    <xf numFmtId="165" fontId="49" fillId="15" borderId="3" xfId="0" applyNumberFormat="1" applyFont="1" applyFill="1" applyBorder="1" applyAlignment="1">
      <alignment horizontal="center" vertical="center"/>
    </xf>
    <xf numFmtId="0" fontId="48" fillId="5" borderId="4" xfId="0" applyFont="1" applyFill="1" applyBorder="1" applyAlignment="1">
      <alignment horizontal="left" vertical="center"/>
    </xf>
    <xf numFmtId="165" fontId="49" fillId="5" borderId="3" xfId="0" applyNumberFormat="1" applyFont="1" applyFill="1" applyBorder="1" applyAlignment="1">
      <alignment horizontal="center" vertical="center"/>
    </xf>
    <xf numFmtId="165" fontId="43" fillId="12" borderId="3" xfId="0" applyNumberFormat="1" applyFont="1" applyFill="1" applyBorder="1" applyAlignment="1">
      <alignment horizontal="center" vertical="center"/>
    </xf>
    <xf numFmtId="0" fontId="47" fillId="13" borderId="4" xfId="0" applyFont="1" applyFill="1" applyBorder="1" applyAlignment="1">
      <alignment horizontal="center" vertical="center"/>
    </xf>
    <xf numFmtId="0" fontId="47" fillId="13" borderId="4" xfId="0" applyFont="1" applyFill="1" applyBorder="1" applyAlignment="1">
      <alignment horizontal="center" vertical="center"/>
    </xf>
    <xf numFmtId="0" fontId="48" fillId="15" borderId="3" xfId="0" applyFont="1" applyFill="1" applyBorder="1" applyAlignment="1">
      <alignment horizontal="left" vertical="center" wrapText="1"/>
    </xf>
    <xf numFmtId="0" fontId="49" fillId="15" borderId="3" xfId="0" applyFont="1" applyFill="1" applyBorder="1" applyAlignment="1">
      <alignment horizontal="center" vertical="center" wrapText="1"/>
    </xf>
    <xf numFmtId="0" fontId="49" fillId="15" borderId="3" xfId="0" applyFont="1" applyFill="1" applyBorder="1" applyAlignment="1">
      <alignment horizontal="center" vertical="center"/>
    </xf>
    <xf numFmtId="0" fontId="49" fillId="15" borderId="4" xfId="0" applyFont="1" applyFill="1" applyBorder="1" applyAlignment="1">
      <alignment horizontal="left" vertical="center" wrapText="1"/>
    </xf>
    <xf numFmtId="0" fontId="49" fillId="15" borderId="4" xfId="0" applyFont="1" applyFill="1" applyBorder="1" applyAlignment="1">
      <alignment horizontal="left" vertical="center" wrapText="1"/>
    </xf>
    <xf numFmtId="0" fontId="48" fillId="5" borderId="3" xfId="0" applyFont="1" applyFill="1" applyBorder="1" applyAlignment="1">
      <alignment horizontal="left" vertical="center" wrapText="1"/>
    </xf>
    <xf numFmtId="0" fontId="49" fillId="5" borderId="3" xfId="0" applyFont="1" applyFill="1" applyBorder="1" applyAlignment="1">
      <alignment horizontal="center" vertical="center" wrapText="1"/>
    </xf>
    <xf numFmtId="0" fontId="49" fillId="5" borderId="3" xfId="0" applyFont="1" applyFill="1" applyBorder="1" applyAlignment="1">
      <alignment horizontal="center" vertical="center"/>
    </xf>
    <xf numFmtId="0" fontId="49" fillId="5" borderId="4" xfId="0" applyFont="1" applyFill="1" applyBorder="1" applyAlignment="1">
      <alignment horizontal="left" vertical="center" wrapText="1"/>
    </xf>
    <xf numFmtId="0" fontId="49" fillId="5" borderId="4" xfId="0" applyFont="1" applyFill="1" applyBorder="1" applyAlignment="1">
      <alignment horizontal="left" vertical="center" wrapText="1"/>
    </xf>
    <xf numFmtId="0" fontId="23" fillId="13" borderId="14" xfId="0" applyFont="1" applyFill="1" applyBorder="1" applyAlignment="1">
      <alignment horizontal="center" vertical="center"/>
    </xf>
    <xf numFmtId="0" fontId="23" fillId="16" borderId="14" xfId="0" applyFont="1" applyFill="1" applyBorder="1" applyAlignment="1">
      <alignment horizontal="center" vertical="center"/>
    </xf>
    <xf numFmtId="0" fontId="23" fillId="16" borderId="15" xfId="0" applyFont="1" applyFill="1" applyBorder="1" applyAlignment="1">
      <alignment horizontal="center" vertical="center"/>
    </xf>
    <xf numFmtId="0" fontId="23" fillId="13" borderId="15" xfId="0" applyFont="1" applyFill="1" applyBorder="1" applyAlignment="1">
      <alignment horizontal="center" vertical="center"/>
    </xf>
    <xf numFmtId="0" fontId="2" fillId="7" borderId="10" xfId="0" applyFont="1" applyFill="1" applyBorder="1" applyAlignment="1">
      <alignment horizontal="center" vertical="center"/>
    </xf>
    <xf numFmtId="0" fontId="2" fillId="7" borderId="7" xfId="0" applyFont="1" applyFill="1" applyBorder="1" applyAlignment="1">
      <alignment horizontal="center" vertical="center"/>
    </xf>
  </cellXfs>
  <cellStyles count="1">
    <cellStyle name="Normal" xfId="0" builtinId="0"/>
  </cellStyles>
  <dxfs count="14">
    <dxf>
      <font>
        <b/>
        <sz val="10"/>
        <color rgb="FFFFFFFF"/>
        <name val="Calibri"/>
        <charset val="1"/>
      </font>
      <fill>
        <patternFill>
          <bgColor rgb="FF333333"/>
        </patternFill>
      </fill>
    </dxf>
    <dxf>
      <font>
        <i/>
        <strike/>
        <color rgb="FF808080"/>
      </font>
    </dxf>
    <dxf>
      <font>
        <b/>
        <sz val="10"/>
        <color rgb="FFFFFFFF"/>
        <name val="Calibri"/>
        <charset val="1"/>
      </font>
      <fill>
        <patternFill>
          <bgColor rgb="FF333333"/>
        </patternFill>
      </fill>
    </dxf>
    <dxf>
      <font>
        <b/>
        <sz val="10"/>
        <color rgb="FFFFFFFF"/>
        <name val="Calibri"/>
        <charset val="1"/>
      </font>
      <fill>
        <patternFill>
          <bgColor rgb="FF333333"/>
        </patternFill>
      </fill>
    </dxf>
    <dxf>
      <font>
        <b/>
        <sz val="10"/>
        <color rgb="FFFFFFFF"/>
        <name val="Calibri"/>
        <charset val="1"/>
      </font>
      <fill>
        <patternFill>
          <bgColor rgb="FF333333"/>
        </patternFill>
      </fill>
    </dxf>
    <dxf>
      <font>
        <b/>
        <sz val="10"/>
        <color rgb="FFFFFFFF"/>
        <name val="Calibri"/>
        <charset val="1"/>
      </font>
      <fill>
        <patternFill>
          <bgColor rgb="FF333333"/>
        </patternFill>
      </fill>
    </dxf>
    <dxf>
      <font>
        <b/>
        <sz val="10"/>
        <color rgb="FFFFFFFF"/>
        <name val="Calibri"/>
        <charset val="1"/>
      </font>
      <fill>
        <patternFill>
          <bgColor rgb="FF333333"/>
        </patternFill>
      </fill>
    </dxf>
    <dxf>
      <font>
        <b/>
        <sz val="10"/>
        <color rgb="FFFFFFFF"/>
        <name val="Calibri"/>
        <charset val="1"/>
      </font>
      <fill>
        <patternFill>
          <bgColor rgb="FF333333"/>
        </patternFill>
      </fill>
    </dxf>
    <dxf>
      <font>
        <i/>
        <strike/>
        <color rgb="FF808080"/>
      </font>
    </dxf>
    <dxf>
      <font>
        <i/>
        <strike/>
        <color rgb="FF808080"/>
      </font>
    </dxf>
    <dxf>
      <font>
        <i/>
        <strike/>
        <color rgb="FF808080"/>
      </font>
    </dxf>
    <dxf>
      <font>
        <i/>
        <strike/>
        <color rgb="FF808080"/>
      </font>
    </dxf>
    <dxf>
      <font>
        <i/>
        <strike/>
        <color rgb="FF808080"/>
      </font>
    </dxf>
    <dxf>
      <font>
        <i/>
        <strike/>
        <color rgb="FF80808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06060"/>
      <rgbColor rgb="FF800080"/>
      <rgbColor rgb="FF008080"/>
      <rgbColor rgb="FFB3B3B3"/>
      <rgbColor rgb="FF808080"/>
      <rgbColor rgb="FF9999FF"/>
      <rgbColor rgb="FF993366"/>
      <rgbColor rgb="FFF8F8F8"/>
      <rgbColor rgb="FFF0F0F0"/>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DEDED"/>
      <rgbColor rgb="FFF5F5F5"/>
      <rgbColor rgb="FFFFFF99"/>
      <rgbColor rgb="FF99CCFF"/>
      <rgbColor rgb="FFFF99CC"/>
      <rgbColor rgb="FFCC99FF"/>
      <rgbColor rgb="FFD9D9D9"/>
      <rgbColor rgb="FF3366FF"/>
      <rgbColor rgb="FF33CCCC"/>
      <rgbColor rgb="FF99CC00"/>
      <rgbColor rgb="FFFFCC00"/>
      <rgbColor rgb="FFFF9900"/>
      <rgbColor rgb="FFFF6600"/>
      <rgbColor rgb="FF666666"/>
      <rgbColor rgb="FFAAAAAA"/>
      <rgbColor rgb="FF003366"/>
      <rgbColor rgb="FF339966"/>
      <rgbColor rgb="FF1A1A1A"/>
      <rgbColor rgb="FF404040"/>
      <rgbColor rgb="FF993300"/>
      <rgbColor rgb="FF993366"/>
      <rgbColor rgb="FF4D4D4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showGridLines="0" zoomScaleNormal="100" workbookViewId="0">
      <selection activeCell="G5" sqref="G5"/>
    </sheetView>
  </sheetViews>
  <sheetFormatPr baseColWidth="10" defaultColWidth="8.7109375" defaultRowHeight="15" x14ac:dyDescent="0.25"/>
  <cols>
    <col min="1" max="1" width="5" customWidth="1"/>
    <col min="2" max="2" width="52" customWidth="1"/>
    <col min="3" max="5" width="14" customWidth="1"/>
    <col min="6" max="6" width="41" customWidth="1"/>
  </cols>
  <sheetData>
    <row r="1" spans="1:6" ht="25.5" customHeight="1" x14ac:dyDescent="0.25">
      <c r="A1" s="14" t="s">
        <v>0</v>
      </c>
      <c r="B1" s="14"/>
      <c r="C1" s="14"/>
      <c r="D1" s="14"/>
      <c r="E1" s="14"/>
      <c r="F1" s="14"/>
    </row>
    <row r="2" spans="1:6" ht="15.75" customHeight="1" x14ac:dyDescent="0.25">
      <c r="A2" s="13" t="s">
        <v>1</v>
      </c>
      <c r="B2" s="13"/>
      <c r="C2" s="13"/>
      <c r="D2" s="13"/>
      <c r="E2" s="13"/>
      <c r="F2" s="13"/>
    </row>
    <row r="3" spans="1:6" ht="13.5" customHeight="1" x14ac:dyDescent="0.25">
      <c r="A3" s="12" t="s">
        <v>2</v>
      </c>
      <c r="B3" s="12"/>
      <c r="C3" s="12"/>
      <c r="D3" s="12"/>
      <c r="E3" s="12"/>
      <c r="F3" s="12"/>
    </row>
    <row r="4" spans="1:6" ht="21.75" customHeight="1" x14ac:dyDescent="0.25">
      <c r="A4" s="16" t="s">
        <v>3</v>
      </c>
      <c r="B4" s="17" t="s">
        <v>4</v>
      </c>
      <c r="C4" s="11" t="s">
        <v>5</v>
      </c>
      <c r="D4" s="11"/>
      <c r="E4" s="11"/>
      <c r="F4" s="11"/>
    </row>
    <row r="5" spans="1:6" ht="21.75" customHeight="1" x14ac:dyDescent="0.25">
      <c r="A5" s="18" t="s">
        <v>6</v>
      </c>
      <c r="B5" s="17" t="s">
        <v>7</v>
      </c>
      <c r="C5" s="11" t="s">
        <v>8</v>
      </c>
      <c r="D5" s="11"/>
      <c r="E5" s="11"/>
      <c r="F5" s="11"/>
    </row>
    <row r="6" spans="1:6" ht="21.75" customHeight="1" x14ac:dyDescent="0.25">
      <c r="A6" s="19" t="s">
        <v>9</v>
      </c>
      <c r="B6" s="17" t="s">
        <v>10</v>
      </c>
      <c r="C6" s="11" t="s">
        <v>11</v>
      </c>
      <c r="D6" s="11"/>
      <c r="E6" s="11"/>
      <c r="F6" s="11"/>
    </row>
    <row r="7" spans="1:6" ht="7.5" customHeight="1" x14ac:dyDescent="0.25"/>
    <row r="8" spans="1:6" ht="18" customHeight="1" x14ac:dyDescent="0.25">
      <c r="A8" s="10" t="s">
        <v>12</v>
      </c>
      <c r="B8" s="10"/>
      <c r="C8" s="10"/>
      <c r="D8" s="10"/>
      <c r="E8" s="10"/>
      <c r="F8" s="10"/>
    </row>
    <row r="9" spans="1:6" ht="15.75" customHeight="1" x14ac:dyDescent="0.25">
      <c r="A9" s="20" t="s">
        <v>13</v>
      </c>
      <c r="B9" s="20" t="s">
        <v>14</v>
      </c>
      <c r="C9" s="20" t="s">
        <v>15</v>
      </c>
      <c r="D9" s="20" t="s">
        <v>16</v>
      </c>
      <c r="E9" s="20" t="s">
        <v>17</v>
      </c>
      <c r="F9" s="20" t="s">
        <v>18</v>
      </c>
    </row>
    <row r="10" spans="1:6" ht="19.5" customHeight="1" x14ac:dyDescent="0.25">
      <c r="A10" s="21" t="s">
        <v>19</v>
      </c>
      <c r="B10" s="22" t="s">
        <v>20</v>
      </c>
      <c r="C10" s="23"/>
      <c r="D10" s="23"/>
      <c r="E10" s="23"/>
      <c r="F10" s="23"/>
    </row>
    <row r="11" spans="1:6" ht="18" customHeight="1" x14ac:dyDescent="0.25">
      <c r="A11" s="24" t="s">
        <v>21</v>
      </c>
      <c r="B11" s="25" t="s">
        <v>22</v>
      </c>
      <c r="C11" s="26" t="s">
        <v>23</v>
      </c>
      <c r="D11" s="27">
        <v>66667</v>
      </c>
      <c r="E11" s="28">
        <v>7733372</v>
      </c>
      <c r="F11" s="29" t="s">
        <v>24</v>
      </c>
    </row>
    <row r="12" spans="1:6" ht="18" customHeight="1" x14ac:dyDescent="0.25">
      <c r="A12" s="30" t="s">
        <v>25</v>
      </c>
      <c r="B12" s="31" t="s">
        <v>26</v>
      </c>
      <c r="C12" s="32" t="s">
        <v>23</v>
      </c>
      <c r="D12" s="33">
        <v>66667</v>
      </c>
      <c r="E12" s="34">
        <v>7733372</v>
      </c>
      <c r="F12" s="35" t="s">
        <v>27</v>
      </c>
    </row>
    <row r="13" spans="1:6" ht="18" customHeight="1" x14ac:dyDescent="0.25">
      <c r="A13" s="24" t="s">
        <v>28</v>
      </c>
      <c r="B13" s="25" t="s">
        <v>29</v>
      </c>
      <c r="C13" s="26" t="s">
        <v>23</v>
      </c>
      <c r="D13" s="27">
        <v>66667</v>
      </c>
      <c r="E13" s="28">
        <v>7733372</v>
      </c>
      <c r="F13" s="29" t="s">
        <v>30</v>
      </c>
    </row>
    <row r="14" spans="1:6" ht="19.5" customHeight="1" x14ac:dyDescent="0.25">
      <c r="A14" s="36"/>
      <c r="B14" s="37" t="s">
        <v>31</v>
      </c>
      <c r="C14" s="38"/>
      <c r="D14" s="38"/>
      <c r="E14" s="39">
        <v>23200116</v>
      </c>
      <c r="F14" s="40" t="s">
        <v>32</v>
      </c>
    </row>
    <row r="15" spans="1:6" ht="19.5" customHeight="1" x14ac:dyDescent="0.25">
      <c r="A15" s="21" t="s">
        <v>33</v>
      </c>
      <c r="B15" s="22" t="s">
        <v>34</v>
      </c>
      <c r="C15" s="23"/>
      <c r="D15" s="23"/>
      <c r="E15" s="23"/>
      <c r="F15" s="23"/>
    </row>
    <row r="16" spans="1:6" ht="18" customHeight="1" x14ac:dyDescent="0.25">
      <c r="A16" s="30" t="s">
        <v>35</v>
      </c>
      <c r="B16" s="31" t="s">
        <v>36</v>
      </c>
      <c r="C16" s="32" t="s">
        <v>37</v>
      </c>
      <c r="D16" s="41" t="s">
        <v>38</v>
      </c>
      <c r="E16" s="42" t="s">
        <v>39</v>
      </c>
      <c r="F16" s="35" t="s">
        <v>40</v>
      </c>
    </row>
    <row r="17" spans="1:6" ht="18" customHeight="1" x14ac:dyDescent="0.25">
      <c r="A17" s="24" t="s">
        <v>41</v>
      </c>
      <c r="B17" s="25" t="s">
        <v>42</v>
      </c>
      <c r="C17" s="26" t="s">
        <v>37</v>
      </c>
      <c r="D17" s="43" t="s">
        <v>38</v>
      </c>
      <c r="E17" s="44" t="s">
        <v>39</v>
      </c>
      <c r="F17" s="29" t="s">
        <v>43</v>
      </c>
    </row>
    <row r="18" spans="1:6" ht="18" customHeight="1" x14ac:dyDescent="0.25">
      <c r="A18" s="30" t="s">
        <v>44</v>
      </c>
      <c r="B18" s="31" t="s">
        <v>45</v>
      </c>
      <c r="C18" s="32" t="s">
        <v>37</v>
      </c>
      <c r="D18" s="41" t="s">
        <v>38</v>
      </c>
      <c r="E18" s="42" t="s">
        <v>39</v>
      </c>
      <c r="F18" s="35" t="s">
        <v>46</v>
      </c>
    </row>
    <row r="19" spans="1:6" ht="18" customHeight="1" x14ac:dyDescent="0.25">
      <c r="A19" s="24" t="s">
        <v>47</v>
      </c>
      <c r="B19" s="25" t="s">
        <v>48</v>
      </c>
      <c r="C19" s="26" t="s">
        <v>37</v>
      </c>
      <c r="D19" s="43" t="s">
        <v>38</v>
      </c>
      <c r="E19" s="44" t="s">
        <v>39</v>
      </c>
      <c r="F19" s="29" t="s">
        <v>49</v>
      </c>
    </row>
    <row r="20" spans="1:6" ht="18" customHeight="1" x14ac:dyDescent="0.25">
      <c r="A20" s="30" t="s">
        <v>50</v>
      </c>
      <c r="B20" s="31" t="s">
        <v>51</v>
      </c>
      <c r="C20" s="32" t="s">
        <v>52</v>
      </c>
      <c r="D20" s="33">
        <v>89000</v>
      </c>
      <c r="E20" s="34">
        <v>89000</v>
      </c>
      <c r="F20" s="35" t="s">
        <v>53</v>
      </c>
    </row>
    <row r="21" spans="1:6" ht="18" customHeight="1" x14ac:dyDescent="0.25">
      <c r="A21" s="24" t="s">
        <v>54</v>
      </c>
      <c r="B21" s="25" t="s">
        <v>55</v>
      </c>
      <c r="C21" s="26" t="s">
        <v>37</v>
      </c>
      <c r="D21" s="27">
        <v>40000</v>
      </c>
      <c r="E21" s="28">
        <v>240000</v>
      </c>
      <c r="F21" s="29" t="s">
        <v>56</v>
      </c>
    </row>
    <row r="22" spans="1:6" ht="19.5" customHeight="1" x14ac:dyDescent="0.25">
      <c r="A22" s="36"/>
      <c r="B22" s="37" t="s">
        <v>57</v>
      </c>
      <c r="C22" s="38"/>
      <c r="D22" s="38"/>
      <c r="E22" s="39">
        <v>329000</v>
      </c>
      <c r="F22" s="40" t="s">
        <v>58</v>
      </c>
    </row>
    <row r="23" spans="1:6" ht="19.5" customHeight="1" x14ac:dyDescent="0.25">
      <c r="A23" s="21" t="s">
        <v>59</v>
      </c>
      <c r="B23" s="22" t="s">
        <v>60</v>
      </c>
      <c r="C23" s="23"/>
      <c r="D23" s="23"/>
      <c r="E23" s="23"/>
      <c r="F23" s="23"/>
    </row>
    <row r="24" spans="1:6" ht="18" customHeight="1" x14ac:dyDescent="0.25">
      <c r="A24" s="45" t="s">
        <v>61</v>
      </c>
      <c r="B24" s="46" t="s">
        <v>62</v>
      </c>
      <c r="C24" s="45" t="s">
        <v>37</v>
      </c>
      <c r="D24" s="47">
        <v>75000</v>
      </c>
      <c r="E24" s="47">
        <v>450000</v>
      </c>
      <c r="F24" s="48" t="s">
        <v>63</v>
      </c>
    </row>
    <row r="25" spans="1:6" ht="18" customHeight="1" x14ac:dyDescent="0.25">
      <c r="A25" s="49" t="s">
        <v>64</v>
      </c>
      <c r="B25" s="50" t="s">
        <v>65</v>
      </c>
      <c r="C25" s="49" t="s">
        <v>37</v>
      </c>
      <c r="D25" s="51">
        <v>75000</v>
      </c>
      <c r="E25" s="51">
        <v>450000</v>
      </c>
      <c r="F25" s="52" t="s">
        <v>63</v>
      </c>
    </row>
    <row r="26" spans="1:6" ht="18" customHeight="1" x14ac:dyDescent="0.25">
      <c r="A26" s="45" t="s">
        <v>66</v>
      </c>
      <c r="B26" s="46" t="s">
        <v>67</v>
      </c>
      <c r="C26" s="45" t="s">
        <v>37</v>
      </c>
      <c r="D26" s="47">
        <v>75000</v>
      </c>
      <c r="E26" s="47">
        <v>450000</v>
      </c>
      <c r="F26" s="48" t="s">
        <v>63</v>
      </c>
    </row>
    <row r="27" spans="1:6" ht="18" customHeight="1" x14ac:dyDescent="0.25">
      <c r="A27" s="49" t="s">
        <v>68</v>
      </c>
      <c r="B27" s="50" t="s">
        <v>69</v>
      </c>
      <c r="C27" s="49" t="s">
        <v>37</v>
      </c>
      <c r="D27" s="51">
        <v>45000</v>
      </c>
      <c r="E27" s="51">
        <v>270000</v>
      </c>
      <c r="F27" s="52" t="s">
        <v>70</v>
      </c>
    </row>
    <row r="28" spans="1:6" ht="19.5" customHeight="1" x14ac:dyDescent="0.25">
      <c r="A28" s="45" t="s">
        <v>71</v>
      </c>
      <c r="B28" s="46" t="s">
        <v>72</v>
      </c>
      <c r="C28" s="45" t="s">
        <v>37</v>
      </c>
      <c r="D28" s="47">
        <v>45000</v>
      </c>
      <c r="E28" s="47">
        <v>270000</v>
      </c>
      <c r="F28" s="48" t="s">
        <v>70</v>
      </c>
    </row>
    <row r="29" spans="1:6" ht="19.5" customHeight="1" x14ac:dyDescent="0.25">
      <c r="A29" s="49" t="s">
        <v>73</v>
      </c>
      <c r="B29" s="50" t="s">
        <v>74</v>
      </c>
      <c r="C29" s="49" t="s">
        <v>37</v>
      </c>
      <c r="D29" s="51">
        <v>45000</v>
      </c>
      <c r="E29" s="51">
        <v>270000</v>
      </c>
      <c r="F29" s="52" t="s">
        <v>70</v>
      </c>
    </row>
    <row r="30" spans="1:6" ht="18" customHeight="1" x14ac:dyDescent="0.25">
      <c r="A30" s="24" t="s">
        <v>64</v>
      </c>
      <c r="B30" s="25" t="s">
        <v>75</v>
      </c>
      <c r="C30" s="26" t="s">
        <v>76</v>
      </c>
      <c r="D30" s="43" t="s">
        <v>38</v>
      </c>
      <c r="E30" s="28">
        <v>50000</v>
      </c>
      <c r="F30" s="29" t="s">
        <v>77</v>
      </c>
    </row>
    <row r="31" spans="1:6" ht="18" customHeight="1" x14ac:dyDescent="0.25">
      <c r="A31" s="30" t="s">
        <v>66</v>
      </c>
      <c r="B31" s="31" t="s">
        <v>78</v>
      </c>
      <c r="C31" s="32" t="s">
        <v>37</v>
      </c>
      <c r="D31" s="33">
        <v>16000</v>
      </c>
      <c r="E31" s="34">
        <v>96000</v>
      </c>
      <c r="F31" s="35" t="s">
        <v>79</v>
      </c>
    </row>
    <row r="32" spans="1:6" ht="18" customHeight="1" x14ac:dyDescent="0.25">
      <c r="A32" s="24" t="s">
        <v>68</v>
      </c>
      <c r="B32" s="25" t="s">
        <v>80</v>
      </c>
      <c r="C32" s="26" t="s">
        <v>37</v>
      </c>
      <c r="D32" s="27">
        <v>30000</v>
      </c>
      <c r="E32" s="28">
        <v>180000</v>
      </c>
      <c r="F32" s="29" t="s">
        <v>81</v>
      </c>
    </row>
    <row r="33" spans="1:6" ht="19.5" customHeight="1" x14ac:dyDescent="0.25">
      <c r="A33" s="53"/>
      <c r="B33" s="9" t="s">
        <v>82</v>
      </c>
      <c r="C33" s="9"/>
      <c r="D33" s="53"/>
      <c r="E33" s="54">
        <f>SUM(E24:E32)</f>
        <v>2486000</v>
      </c>
      <c r="F33" s="55" t="s">
        <v>83</v>
      </c>
    </row>
    <row r="34" spans="1:6" ht="13.5" customHeight="1" x14ac:dyDescent="0.25">
      <c r="A34" s="56" t="s">
        <v>84</v>
      </c>
      <c r="B34" s="8" t="s">
        <v>85</v>
      </c>
      <c r="C34" s="8"/>
      <c r="D34" s="8"/>
      <c r="E34" s="8"/>
      <c r="F34" s="8"/>
    </row>
    <row r="35" spans="1:6" ht="18" customHeight="1" x14ac:dyDescent="0.25">
      <c r="A35" s="45" t="s">
        <v>86</v>
      </c>
      <c r="B35" s="46" t="s">
        <v>87</v>
      </c>
      <c r="C35" s="45" t="s">
        <v>23</v>
      </c>
      <c r="D35" s="47">
        <v>1315</v>
      </c>
      <c r="E35" s="47">
        <v>152548</v>
      </c>
      <c r="F35" s="48" t="s">
        <v>88</v>
      </c>
    </row>
    <row r="36" spans="1:6" ht="18" customHeight="1" x14ac:dyDescent="0.25">
      <c r="A36" s="49" t="s">
        <v>89</v>
      </c>
      <c r="B36" s="50" t="s">
        <v>90</v>
      </c>
      <c r="C36" s="49" t="s">
        <v>23</v>
      </c>
      <c r="D36" s="51">
        <v>1315</v>
      </c>
      <c r="E36" s="51">
        <v>152548</v>
      </c>
      <c r="F36" s="52" t="s">
        <v>88</v>
      </c>
    </row>
    <row r="37" spans="1:6" ht="18" customHeight="1" x14ac:dyDescent="0.25">
      <c r="A37" s="45" t="s">
        <v>91</v>
      </c>
      <c r="B37" s="46" t="s">
        <v>92</v>
      </c>
      <c r="C37" s="45" t="s">
        <v>23</v>
      </c>
      <c r="D37" s="47">
        <v>1315</v>
      </c>
      <c r="E37" s="47">
        <v>152548</v>
      </c>
      <c r="F37" s="48" t="s">
        <v>88</v>
      </c>
    </row>
    <row r="38" spans="1:6" ht="27.75" customHeight="1" x14ac:dyDescent="0.25">
      <c r="A38" s="53"/>
      <c r="B38" s="9" t="s">
        <v>93</v>
      </c>
      <c r="C38" s="9"/>
      <c r="D38" s="53"/>
      <c r="E38" s="54">
        <f>SUM(E35:E37)</f>
        <v>457644</v>
      </c>
      <c r="F38" s="55" t="s">
        <v>94</v>
      </c>
    </row>
    <row r="39" spans="1:6" ht="15" customHeight="1" x14ac:dyDescent="0.25">
      <c r="A39" s="57"/>
      <c r="B39" s="7"/>
      <c r="C39" s="7"/>
      <c r="D39" s="7"/>
      <c r="E39" s="7"/>
      <c r="F39" s="7"/>
    </row>
    <row r="40" spans="1:6" ht="15.75" customHeight="1" x14ac:dyDescent="0.25">
      <c r="A40" s="6" t="s">
        <v>95</v>
      </c>
      <c r="B40" s="6"/>
      <c r="C40" s="6"/>
      <c r="D40" s="6"/>
      <c r="E40" s="58">
        <f>E14+E22+E33+E38</f>
        <v>26472760</v>
      </c>
      <c r="F40" s="59"/>
    </row>
    <row r="41" spans="1:6" ht="13.5" customHeight="1" x14ac:dyDescent="0.25">
      <c r="A41" s="6" t="s">
        <v>96</v>
      </c>
      <c r="B41" s="6"/>
      <c r="C41" s="6"/>
      <c r="D41" s="6"/>
      <c r="E41" s="58">
        <f>E40*0.1</f>
        <v>2647276</v>
      </c>
      <c r="F41" s="59"/>
    </row>
    <row r="42" spans="1:6" ht="18" customHeight="1" x14ac:dyDescent="0.25">
      <c r="A42" s="6" t="s">
        <v>97</v>
      </c>
      <c r="B42" s="6"/>
      <c r="C42" s="6"/>
      <c r="D42" s="6"/>
      <c r="E42" s="58">
        <f>E40*0.15</f>
        <v>3970914</v>
      </c>
      <c r="F42" s="60" t="s">
        <v>98</v>
      </c>
    </row>
    <row r="43" spans="1:6" ht="18" customHeight="1" x14ac:dyDescent="0.25">
      <c r="A43" s="5" t="s">
        <v>99</v>
      </c>
      <c r="B43" s="5"/>
      <c r="C43" s="5"/>
      <c r="D43" s="5"/>
      <c r="E43" s="61">
        <f>E40+E41+E42</f>
        <v>33090950</v>
      </c>
      <c r="F43" s="62"/>
    </row>
    <row r="44" spans="1:6" ht="18" customHeight="1" x14ac:dyDescent="0.25">
      <c r="A44" s="57"/>
      <c r="B44" s="57"/>
      <c r="C44" s="57"/>
      <c r="D44" s="57"/>
      <c r="E44" s="57"/>
      <c r="F44" s="57"/>
    </row>
    <row r="45" spans="1:6" ht="18" customHeight="1" x14ac:dyDescent="0.25">
      <c r="A45" s="4" t="s">
        <v>100</v>
      </c>
      <c r="B45" s="4"/>
      <c r="C45" s="4"/>
      <c r="D45" s="4"/>
      <c r="E45" s="4"/>
      <c r="F45" s="4"/>
    </row>
    <row r="46" spans="1:6" ht="18" customHeight="1" x14ac:dyDescent="0.25">
      <c r="A46" s="63"/>
      <c r="B46" s="3" t="s">
        <v>101</v>
      </c>
      <c r="C46" s="3"/>
      <c r="D46" s="3"/>
      <c r="E46" s="64" t="s">
        <v>102</v>
      </c>
      <c r="F46" s="64" t="s">
        <v>103</v>
      </c>
    </row>
    <row r="47" spans="1:6" ht="15" customHeight="1" x14ac:dyDescent="0.25">
      <c r="A47" s="65" t="s">
        <v>104</v>
      </c>
      <c r="B47" s="2" t="s">
        <v>105</v>
      </c>
      <c r="C47" s="2"/>
      <c r="D47" s="2"/>
      <c r="E47" s="47">
        <v>240772831</v>
      </c>
      <c r="F47" s="66">
        <v>0</v>
      </c>
    </row>
    <row r="48" spans="1:6" ht="13.5" customHeight="1" x14ac:dyDescent="0.25">
      <c r="A48" s="67" t="s">
        <v>106</v>
      </c>
      <c r="B48" s="1" t="s">
        <v>107</v>
      </c>
      <c r="C48" s="1"/>
      <c r="D48" s="1"/>
      <c r="E48" s="51">
        <v>180807246</v>
      </c>
      <c r="F48" s="68">
        <f>1-E48/E47</f>
        <v>0.24905461613316326</v>
      </c>
    </row>
    <row r="49" spans="1:6" ht="13.5" customHeight="1" x14ac:dyDescent="0.25">
      <c r="A49" s="65" t="s">
        <v>108</v>
      </c>
      <c r="B49" s="2" t="s">
        <v>109</v>
      </c>
      <c r="C49" s="2"/>
      <c r="D49" s="2"/>
      <c r="E49" s="47">
        <v>87999124</v>
      </c>
      <c r="F49" s="66">
        <f>1-E49/E47</f>
        <v>0.63451389579748718</v>
      </c>
    </row>
    <row r="50" spans="1:6" ht="13.5" customHeight="1" x14ac:dyDescent="0.25">
      <c r="A50" s="67" t="s">
        <v>110</v>
      </c>
      <c r="B50" s="1" t="s">
        <v>111</v>
      </c>
      <c r="C50" s="1"/>
      <c r="D50" s="1"/>
      <c r="E50" s="51">
        <v>59939090</v>
      </c>
      <c r="F50" s="68">
        <f>1-E50/E47</f>
        <v>0.75105542535237291</v>
      </c>
    </row>
    <row r="51" spans="1:6" ht="15" customHeight="1" x14ac:dyDescent="0.25">
      <c r="A51" s="65" t="s">
        <v>112</v>
      </c>
      <c r="B51" s="195" t="s">
        <v>113</v>
      </c>
      <c r="C51" s="195"/>
      <c r="D51" s="195"/>
      <c r="E51" s="69">
        <f>E43</f>
        <v>33090950</v>
      </c>
      <c r="F51" s="70">
        <f>1-E51/E47</f>
        <v>0.86256360461201709</v>
      </c>
    </row>
    <row r="52" spans="1:6" ht="15" customHeight="1" x14ac:dyDescent="0.25">
      <c r="A52" s="71"/>
      <c r="B52" s="71"/>
      <c r="C52" s="71"/>
      <c r="D52" s="71"/>
      <c r="E52" s="71"/>
      <c r="F52" s="71"/>
    </row>
    <row r="53" spans="1:6" ht="15" customHeight="1" x14ac:dyDescent="0.25">
      <c r="A53" s="196" t="s">
        <v>114</v>
      </c>
      <c r="B53" s="196"/>
      <c r="C53" s="196"/>
      <c r="D53" s="196"/>
      <c r="E53" s="196"/>
      <c r="F53" s="196"/>
    </row>
    <row r="54" spans="1:6" ht="15" customHeight="1" x14ac:dyDescent="0.25">
      <c r="A54" s="196" t="s">
        <v>115</v>
      </c>
      <c r="B54" s="196"/>
      <c r="C54" s="196"/>
      <c r="D54" s="196"/>
      <c r="E54" s="196"/>
      <c r="F54" s="196"/>
    </row>
    <row r="55" spans="1:6" ht="15" customHeight="1" x14ac:dyDescent="0.25">
      <c r="A55" s="196" t="s">
        <v>116</v>
      </c>
      <c r="B55" s="196"/>
      <c r="C55" s="196"/>
      <c r="D55" s="196"/>
      <c r="E55" s="196"/>
      <c r="F55" s="196"/>
    </row>
    <row r="56" spans="1:6" ht="15" customHeight="1" x14ac:dyDescent="0.25">
      <c r="A56" s="196" t="s">
        <v>117</v>
      </c>
      <c r="B56" s="196"/>
      <c r="C56" s="196"/>
      <c r="D56" s="196"/>
      <c r="E56" s="196"/>
      <c r="F56" s="196"/>
    </row>
    <row r="57" spans="1:6" ht="15" customHeight="1" x14ac:dyDescent="0.25">
      <c r="A57" s="72"/>
      <c r="B57" s="71"/>
      <c r="C57" s="71"/>
      <c r="D57" s="71"/>
      <c r="E57" s="71"/>
      <c r="F57" s="71"/>
    </row>
    <row r="58" spans="1:6" ht="15" customHeight="1" x14ac:dyDescent="0.25">
      <c r="A58" s="71"/>
      <c r="B58" s="71"/>
      <c r="C58" s="71"/>
      <c r="D58" s="71"/>
      <c r="E58" s="71"/>
      <c r="F58" s="71"/>
    </row>
    <row r="59" spans="1:6" ht="15" customHeight="1" x14ac:dyDescent="0.25">
      <c r="A59" s="71"/>
      <c r="B59" s="71"/>
      <c r="C59" s="71"/>
      <c r="D59" s="71"/>
      <c r="E59" s="71"/>
      <c r="F59" s="71"/>
    </row>
    <row r="60" spans="1:6" ht="15" customHeight="1" x14ac:dyDescent="0.25">
      <c r="A60" s="71"/>
      <c r="B60" s="71"/>
      <c r="C60" s="71"/>
      <c r="D60" s="71"/>
      <c r="E60" s="71"/>
      <c r="F60" s="71"/>
    </row>
    <row r="61" spans="1:6" ht="15" customHeight="1" x14ac:dyDescent="0.25">
      <c r="A61" s="71"/>
      <c r="B61" s="71"/>
      <c r="C61" s="71"/>
      <c r="D61" s="71"/>
      <c r="E61" s="71"/>
      <c r="F61" s="71"/>
    </row>
    <row r="62" spans="1:6" ht="15" customHeight="1" x14ac:dyDescent="0.25">
      <c r="A62" s="71"/>
      <c r="B62" s="71"/>
      <c r="C62" s="71"/>
      <c r="D62" s="71"/>
      <c r="E62" s="71"/>
      <c r="F62" s="71"/>
    </row>
    <row r="63" spans="1:6" ht="15" customHeight="1" x14ac:dyDescent="0.25">
      <c r="A63" s="71"/>
      <c r="B63" s="71"/>
      <c r="C63" s="71"/>
      <c r="D63" s="71"/>
      <c r="E63" s="71"/>
      <c r="F63" s="71"/>
    </row>
    <row r="64" spans="1:6" ht="15" customHeight="1" x14ac:dyDescent="0.25">
      <c r="A64" s="71"/>
      <c r="B64" s="71"/>
      <c r="C64" s="71"/>
      <c r="D64" s="71"/>
      <c r="E64" s="71"/>
      <c r="F64" s="71"/>
    </row>
  </sheetData>
  <mergeCells count="26">
    <mergeCell ref="A56:F56"/>
    <mergeCell ref="B50:D50"/>
    <mergeCell ref="B51:D51"/>
    <mergeCell ref="A53:F53"/>
    <mergeCell ref="A54:F54"/>
    <mergeCell ref="A55:F55"/>
    <mergeCell ref="A45:F45"/>
    <mergeCell ref="B46:D46"/>
    <mergeCell ref="B47:D47"/>
    <mergeCell ref="B48:D48"/>
    <mergeCell ref="B49:D49"/>
    <mergeCell ref="B39:F39"/>
    <mergeCell ref="A40:D40"/>
    <mergeCell ref="A41:D41"/>
    <mergeCell ref="A42:D42"/>
    <mergeCell ref="A43:D43"/>
    <mergeCell ref="C6:F6"/>
    <mergeCell ref="A8:F8"/>
    <mergeCell ref="B33:C33"/>
    <mergeCell ref="B34:F34"/>
    <mergeCell ref="B38:C38"/>
    <mergeCell ref="A1:F1"/>
    <mergeCell ref="A2:F2"/>
    <mergeCell ref="A3:F3"/>
    <mergeCell ref="C4:F4"/>
    <mergeCell ref="C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showGridLines="0" zoomScaleNormal="100" workbookViewId="0">
      <pane xSplit="4" ySplit="4" topLeftCell="E5" activePane="bottomRight" state="frozen"/>
      <selection pane="topRight" activeCell="E1" sqref="E1"/>
      <selection pane="bottomLeft" activeCell="A5" sqref="A5"/>
      <selection pane="bottomRight" activeCell="C32" sqref="C32"/>
    </sheetView>
  </sheetViews>
  <sheetFormatPr baseColWidth="10" defaultColWidth="8.7109375" defaultRowHeight="15" x14ac:dyDescent="0.25"/>
  <cols>
    <col min="1" max="1" width="8.42578125" customWidth="1"/>
    <col min="2" max="2" width="6" customWidth="1"/>
    <col min="3" max="3" width="45.85546875" customWidth="1"/>
    <col min="4" max="10" width="12" customWidth="1"/>
  </cols>
  <sheetData>
    <row r="1" spans="1:11" ht="25.5" customHeight="1" x14ac:dyDescent="0.25">
      <c r="A1" s="14" t="s">
        <v>118</v>
      </c>
      <c r="B1" s="14"/>
      <c r="C1" s="14"/>
      <c r="D1" s="14"/>
      <c r="E1" s="14"/>
      <c r="F1" s="14"/>
      <c r="G1" s="14"/>
      <c r="H1" s="14"/>
      <c r="I1" s="14"/>
      <c r="J1" s="14"/>
      <c r="K1" s="14"/>
    </row>
    <row r="2" spans="1:11" ht="15.75" customHeight="1" x14ac:dyDescent="0.25">
      <c r="A2" s="13" t="s">
        <v>119</v>
      </c>
      <c r="B2" s="13"/>
      <c r="C2" s="13"/>
      <c r="D2" s="13"/>
      <c r="E2" s="13"/>
      <c r="F2" s="13"/>
      <c r="G2" s="13"/>
      <c r="H2" s="13"/>
      <c r="I2" s="13"/>
      <c r="J2" s="13"/>
      <c r="K2" s="13"/>
    </row>
    <row r="3" spans="1:11" ht="18" customHeight="1" x14ac:dyDescent="0.25">
      <c r="A3" s="197" t="s">
        <v>120</v>
      </c>
      <c r="B3" s="197"/>
      <c r="C3" s="197"/>
      <c r="D3" s="197"/>
      <c r="E3" s="197"/>
      <c r="F3" s="197"/>
      <c r="G3" s="197"/>
      <c r="H3" s="197"/>
      <c r="I3" s="197"/>
      <c r="J3" s="197"/>
      <c r="K3" s="197"/>
    </row>
    <row r="4" spans="1:11" ht="30" customHeight="1" x14ac:dyDescent="0.25">
      <c r="A4" s="74"/>
      <c r="B4" s="74" t="s">
        <v>13</v>
      </c>
      <c r="C4" s="74" t="s">
        <v>122</v>
      </c>
      <c r="D4" s="74" t="s">
        <v>123</v>
      </c>
      <c r="E4" s="74" t="s">
        <v>124</v>
      </c>
      <c r="F4" s="75" t="s">
        <v>125</v>
      </c>
      <c r="G4" s="75" t="s">
        <v>126</v>
      </c>
      <c r="H4" s="75" t="s">
        <v>127</v>
      </c>
      <c r="I4" s="75" t="s">
        <v>128</v>
      </c>
      <c r="J4" s="75" t="s">
        <v>129</v>
      </c>
      <c r="K4" s="75" t="s">
        <v>130</v>
      </c>
    </row>
    <row r="5" spans="1:11" ht="18" customHeight="1" x14ac:dyDescent="0.25">
      <c r="A5" s="23"/>
      <c r="B5" s="76" t="s">
        <v>131</v>
      </c>
      <c r="C5" s="77" t="s">
        <v>132</v>
      </c>
      <c r="D5" s="78" t="s">
        <v>133</v>
      </c>
      <c r="E5" s="79">
        <v>1</v>
      </c>
      <c r="F5" s="80" t="s">
        <v>134</v>
      </c>
      <c r="G5" s="81"/>
      <c r="H5" s="81"/>
      <c r="I5" s="81"/>
      <c r="J5" s="81"/>
      <c r="K5" s="81"/>
    </row>
    <row r="6" spans="1:11" ht="19.5" customHeight="1" x14ac:dyDescent="0.25">
      <c r="A6" s="82"/>
      <c r="B6" s="83" t="s">
        <v>21</v>
      </c>
      <c r="C6" s="84" t="s">
        <v>135</v>
      </c>
      <c r="D6" s="85" t="s">
        <v>136</v>
      </c>
      <c r="E6" s="26">
        <v>21</v>
      </c>
      <c r="F6" s="86" t="s">
        <v>137</v>
      </c>
      <c r="G6" s="87"/>
      <c r="H6" s="87"/>
      <c r="I6" s="87"/>
      <c r="J6" s="87"/>
      <c r="K6" s="87"/>
    </row>
    <row r="7" spans="1:11" ht="19.5" customHeight="1" x14ac:dyDescent="0.25">
      <c r="A7" s="88"/>
      <c r="B7" s="89" t="s">
        <v>25</v>
      </c>
      <c r="C7" s="90" t="s">
        <v>138</v>
      </c>
      <c r="D7" s="91" t="s">
        <v>139</v>
      </c>
      <c r="E7" s="32">
        <v>22</v>
      </c>
      <c r="F7" s="92" t="s">
        <v>137</v>
      </c>
      <c r="G7" s="93"/>
      <c r="H7" s="93"/>
      <c r="I7" s="93"/>
      <c r="J7" s="93"/>
      <c r="K7" s="93"/>
    </row>
    <row r="8" spans="1:11" ht="19.5" customHeight="1" x14ac:dyDescent="0.25">
      <c r="A8" s="82"/>
      <c r="B8" s="83" t="s">
        <v>28</v>
      </c>
      <c r="C8" s="84" t="s">
        <v>140</v>
      </c>
      <c r="D8" s="94" t="s">
        <v>141</v>
      </c>
      <c r="E8" s="26">
        <v>22</v>
      </c>
      <c r="F8" s="95" t="s">
        <v>137</v>
      </c>
      <c r="G8" s="87"/>
      <c r="H8" s="87"/>
      <c r="I8" s="87"/>
      <c r="J8" s="87"/>
      <c r="K8" s="87"/>
    </row>
    <row r="9" spans="1:11" ht="19.5" customHeight="1" x14ac:dyDescent="0.25">
      <c r="A9" s="46"/>
      <c r="B9" s="96" t="s">
        <v>142</v>
      </c>
      <c r="C9" s="97" t="s">
        <v>143</v>
      </c>
      <c r="D9" s="98" t="s">
        <v>133</v>
      </c>
      <c r="E9" s="98">
        <v>0.5</v>
      </c>
      <c r="F9" s="99" t="s">
        <v>144</v>
      </c>
      <c r="G9" s="100"/>
      <c r="H9" s="45"/>
      <c r="I9" s="45"/>
      <c r="J9" s="45"/>
      <c r="K9" s="45"/>
    </row>
    <row r="10" spans="1:11" ht="19.5" customHeight="1" x14ac:dyDescent="0.25">
      <c r="A10" s="88"/>
      <c r="B10" s="89" t="s">
        <v>35</v>
      </c>
      <c r="C10" s="90" t="s">
        <v>145</v>
      </c>
      <c r="D10" s="85" t="s">
        <v>136</v>
      </c>
      <c r="E10" s="32">
        <v>19</v>
      </c>
      <c r="F10" s="93"/>
      <c r="G10" s="86" t="s">
        <v>137</v>
      </c>
      <c r="H10" s="93"/>
      <c r="I10" s="93"/>
      <c r="J10" s="93"/>
      <c r="K10" s="93"/>
    </row>
    <row r="11" spans="1:11" ht="19.5" customHeight="1" x14ac:dyDescent="0.25">
      <c r="A11" s="82"/>
      <c r="B11" s="83" t="s">
        <v>41</v>
      </c>
      <c r="C11" s="84" t="s">
        <v>146</v>
      </c>
      <c r="D11" s="91" t="s">
        <v>139</v>
      </c>
      <c r="E11" s="26">
        <v>19</v>
      </c>
      <c r="F11" s="87"/>
      <c r="G11" s="92" t="s">
        <v>137</v>
      </c>
      <c r="H11" s="87"/>
      <c r="I11" s="87"/>
      <c r="J11" s="87"/>
      <c r="K11" s="87"/>
    </row>
    <row r="12" spans="1:11" ht="19.5" customHeight="1" x14ac:dyDescent="0.25">
      <c r="A12" s="88"/>
      <c r="B12" s="89" t="s">
        <v>44</v>
      </c>
      <c r="C12" s="90" t="s">
        <v>147</v>
      </c>
      <c r="D12" s="94" t="s">
        <v>141</v>
      </c>
      <c r="E12" s="32">
        <v>19</v>
      </c>
      <c r="F12" s="93"/>
      <c r="G12" s="95" t="s">
        <v>137</v>
      </c>
      <c r="H12" s="93"/>
      <c r="I12" s="93"/>
      <c r="J12" s="93"/>
      <c r="K12" s="93"/>
    </row>
    <row r="13" spans="1:11" ht="19.5" customHeight="1" x14ac:dyDescent="0.25">
      <c r="A13" s="46"/>
      <c r="B13" s="96" t="s">
        <v>148</v>
      </c>
      <c r="C13" s="97" t="s">
        <v>149</v>
      </c>
      <c r="D13" s="98" t="s">
        <v>133</v>
      </c>
      <c r="E13" s="98">
        <v>0.5</v>
      </c>
      <c r="F13" s="45"/>
      <c r="G13" s="99" t="s">
        <v>144</v>
      </c>
      <c r="H13" s="100"/>
      <c r="I13" s="45"/>
      <c r="J13" s="45"/>
      <c r="K13" s="45"/>
    </row>
    <row r="14" spans="1:11" ht="19.5" customHeight="1" x14ac:dyDescent="0.25">
      <c r="A14" s="82"/>
      <c r="B14" s="83" t="s">
        <v>61</v>
      </c>
      <c r="C14" s="84" t="s">
        <v>150</v>
      </c>
      <c r="D14" s="85" t="s">
        <v>136</v>
      </c>
      <c r="E14" s="26">
        <v>22</v>
      </c>
      <c r="F14" s="87"/>
      <c r="G14" s="87"/>
      <c r="H14" s="86" t="s">
        <v>137</v>
      </c>
      <c r="I14" s="87"/>
      <c r="J14" s="87"/>
      <c r="K14" s="87"/>
    </row>
    <row r="15" spans="1:11" ht="19.5" customHeight="1" x14ac:dyDescent="0.25">
      <c r="A15" s="88"/>
      <c r="B15" s="89" t="s">
        <v>64</v>
      </c>
      <c r="C15" s="90" t="s">
        <v>151</v>
      </c>
      <c r="D15" s="91" t="s">
        <v>139</v>
      </c>
      <c r="E15" s="32">
        <v>22</v>
      </c>
      <c r="F15" s="93"/>
      <c r="G15" s="93"/>
      <c r="H15" s="92" t="s">
        <v>137</v>
      </c>
      <c r="I15" s="93"/>
      <c r="J15" s="93"/>
      <c r="K15" s="93"/>
    </row>
    <row r="16" spans="1:11" ht="19.5" customHeight="1" x14ac:dyDescent="0.25">
      <c r="A16" s="82"/>
      <c r="B16" s="83" t="s">
        <v>66</v>
      </c>
      <c r="C16" s="84" t="s">
        <v>152</v>
      </c>
      <c r="D16" s="94" t="s">
        <v>141</v>
      </c>
      <c r="E16" s="26">
        <v>22</v>
      </c>
      <c r="F16" s="87"/>
      <c r="G16" s="87"/>
      <c r="H16" s="95" t="s">
        <v>137</v>
      </c>
      <c r="I16" s="87"/>
      <c r="J16" s="87"/>
      <c r="K16" s="87"/>
    </row>
    <row r="17" spans="1:11" ht="19.5" customHeight="1" x14ac:dyDescent="0.25">
      <c r="A17" s="46"/>
      <c r="B17" s="96" t="s">
        <v>153</v>
      </c>
      <c r="C17" s="97" t="s">
        <v>154</v>
      </c>
      <c r="D17" s="98" t="s">
        <v>133</v>
      </c>
      <c r="E17" s="98">
        <v>0.5</v>
      </c>
      <c r="F17" s="45"/>
      <c r="G17" s="45"/>
      <c r="H17" s="99" t="s">
        <v>144</v>
      </c>
      <c r="I17" s="100"/>
      <c r="J17" s="45"/>
      <c r="K17" s="45"/>
    </row>
    <row r="18" spans="1:11" ht="19.5" customHeight="1" x14ac:dyDescent="0.25">
      <c r="A18" s="88"/>
      <c r="B18" s="89" t="s">
        <v>86</v>
      </c>
      <c r="C18" s="90" t="s">
        <v>155</v>
      </c>
      <c r="D18" s="85" t="s">
        <v>136</v>
      </c>
      <c r="E18" s="32">
        <v>21</v>
      </c>
      <c r="F18" s="93"/>
      <c r="G18" s="93"/>
      <c r="H18" s="93"/>
      <c r="I18" s="86" t="s">
        <v>137</v>
      </c>
      <c r="J18" s="93"/>
      <c r="K18" s="93"/>
    </row>
    <row r="19" spans="1:11" ht="19.5" customHeight="1" x14ac:dyDescent="0.25">
      <c r="A19" s="82"/>
      <c r="B19" s="83" t="s">
        <v>89</v>
      </c>
      <c r="C19" s="84" t="s">
        <v>156</v>
      </c>
      <c r="D19" s="91" t="s">
        <v>139</v>
      </c>
      <c r="E19" s="26">
        <v>21</v>
      </c>
      <c r="F19" s="87"/>
      <c r="G19" s="87"/>
      <c r="H19" s="87"/>
      <c r="I19" s="92" t="s">
        <v>137</v>
      </c>
      <c r="J19" s="87"/>
      <c r="K19" s="87"/>
    </row>
    <row r="20" spans="1:11" ht="19.5" customHeight="1" x14ac:dyDescent="0.25">
      <c r="A20" s="88"/>
      <c r="B20" s="89" t="s">
        <v>91</v>
      </c>
      <c r="C20" s="90" t="s">
        <v>157</v>
      </c>
      <c r="D20" s="94" t="s">
        <v>141</v>
      </c>
      <c r="E20" s="32">
        <v>21</v>
      </c>
      <c r="F20" s="93"/>
      <c r="G20" s="93"/>
      <c r="H20" s="93"/>
      <c r="I20" s="95" t="s">
        <v>137</v>
      </c>
      <c r="J20" s="93"/>
      <c r="K20" s="93"/>
    </row>
    <row r="21" spans="1:11" ht="19.5" customHeight="1" x14ac:dyDescent="0.25">
      <c r="A21" s="46"/>
      <c r="B21" s="96" t="s">
        <v>158</v>
      </c>
      <c r="C21" s="97" t="s">
        <v>159</v>
      </c>
      <c r="D21" s="98" t="s">
        <v>133</v>
      </c>
      <c r="E21" s="98">
        <v>0.5</v>
      </c>
      <c r="F21" s="45"/>
      <c r="G21" s="45"/>
      <c r="H21" s="45"/>
      <c r="I21" s="99" t="s">
        <v>144</v>
      </c>
      <c r="J21" s="100"/>
      <c r="K21" s="45"/>
    </row>
    <row r="22" spans="1:11" ht="19.5" customHeight="1" x14ac:dyDescent="0.25">
      <c r="A22" s="82"/>
      <c r="B22" s="83" t="s">
        <v>160</v>
      </c>
      <c r="C22" s="84" t="s">
        <v>161</v>
      </c>
      <c r="D22" s="85" t="s">
        <v>136</v>
      </c>
      <c r="E22" s="26">
        <v>19</v>
      </c>
      <c r="F22" s="87"/>
      <c r="G22" s="87"/>
      <c r="H22" s="87"/>
      <c r="I22" s="87"/>
      <c r="J22" s="86" t="s">
        <v>137</v>
      </c>
      <c r="K22" s="87"/>
    </row>
    <row r="23" spans="1:11" ht="19.5" customHeight="1" x14ac:dyDescent="0.25">
      <c r="A23" s="88"/>
      <c r="B23" s="89" t="s">
        <v>162</v>
      </c>
      <c r="C23" s="90" t="s">
        <v>163</v>
      </c>
      <c r="D23" s="91" t="s">
        <v>139</v>
      </c>
      <c r="E23" s="32">
        <v>19</v>
      </c>
      <c r="F23" s="93"/>
      <c r="G23" s="93"/>
      <c r="H23" s="93"/>
      <c r="I23" s="93"/>
      <c r="J23" s="92" t="s">
        <v>137</v>
      </c>
      <c r="K23" s="93"/>
    </row>
    <row r="24" spans="1:11" ht="18" customHeight="1" x14ac:dyDescent="0.25">
      <c r="A24" s="82"/>
      <c r="B24" s="83" t="s">
        <v>164</v>
      </c>
      <c r="C24" s="84" t="s">
        <v>165</v>
      </c>
      <c r="D24" s="94" t="s">
        <v>141</v>
      </c>
      <c r="E24" s="26">
        <v>19</v>
      </c>
      <c r="F24" s="87"/>
      <c r="G24" s="87"/>
      <c r="H24" s="87"/>
      <c r="I24" s="87"/>
      <c r="J24" s="95" t="s">
        <v>137</v>
      </c>
      <c r="K24" s="87"/>
    </row>
    <row r="25" spans="1:11" ht="15" customHeight="1" x14ac:dyDescent="0.25">
      <c r="A25" s="46"/>
      <c r="B25" s="96" t="s">
        <v>166</v>
      </c>
      <c r="C25" s="97" t="s">
        <v>167</v>
      </c>
      <c r="D25" s="98" t="s">
        <v>133</v>
      </c>
      <c r="E25" s="98">
        <v>0.5</v>
      </c>
      <c r="F25" s="45"/>
      <c r="G25" s="45"/>
      <c r="H25" s="45"/>
      <c r="I25" s="45"/>
      <c r="J25" s="99" t="s">
        <v>144</v>
      </c>
      <c r="K25" s="100"/>
    </row>
    <row r="26" spans="1:11" ht="15.75" customHeight="1" x14ac:dyDescent="0.25">
      <c r="A26" s="82"/>
      <c r="B26" s="83" t="s">
        <v>168</v>
      </c>
      <c r="C26" s="84" t="s">
        <v>169</v>
      </c>
      <c r="D26" s="91" t="s">
        <v>139</v>
      </c>
      <c r="E26" s="26">
        <v>13</v>
      </c>
      <c r="F26" s="87"/>
      <c r="G26" s="87"/>
      <c r="H26" s="87"/>
      <c r="I26" s="87"/>
      <c r="J26" s="87"/>
      <c r="K26" s="92" t="s">
        <v>137</v>
      </c>
    </row>
    <row r="27" spans="1:11" ht="18.75" customHeight="1" x14ac:dyDescent="0.25">
      <c r="A27" s="88"/>
      <c r="B27" s="89" t="s">
        <v>170</v>
      </c>
      <c r="C27" s="90" t="s">
        <v>171</v>
      </c>
      <c r="D27" s="94" t="s">
        <v>141</v>
      </c>
      <c r="E27" s="32">
        <v>13</v>
      </c>
      <c r="F27" s="93"/>
      <c r="G27" s="93"/>
      <c r="H27" s="93"/>
      <c r="I27" s="93"/>
      <c r="J27" s="93"/>
      <c r="K27" s="95" t="s">
        <v>137</v>
      </c>
    </row>
    <row r="28" spans="1:11" ht="15" customHeight="1" x14ac:dyDescent="0.25">
      <c r="A28" s="46"/>
      <c r="B28" s="96" t="s">
        <v>172</v>
      </c>
      <c r="C28" s="97" t="s">
        <v>173</v>
      </c>
      <c r="D28" s="98" t="s">
        <v>133</v>
      </c>
      <c r="E28" s="98">
        <v>0.5</v>
      </c>
      <c r="F28" s="45"/>
      <c r="G28" s="45"/>
      <c r="H28" s="45"/>
      <c r="I28" s="45"/>
      <c r="J28" s="45"/>
      <c r="K28" s="99" t="s">
        <v>144</v>
      </c>
    </row>
    <row r="29" spans="1:11" ht="15" customHeight="1" x14ac:dyDescent="0.25">
      <c r="A29" s="23"/>
      <c r="B29" s="76" t="s">
        <v>174</v>
      </c>
      <c r="C29" s="77" t="s">
        <v>175</v>
      </c>
      <c r="D29" s="78" t="s">
        <v>133</v>
      </c>
      <c r="E29" s="79">
        <v>1</v>
      </c>
      <c r="F29" s="81"/>
      <c r="G29" s="81"/>
      <c r="H29" s="81"/>
      <c r="I29" s="81"/>
      <c r="J29" s="81"/>
      <c r="K29" s="80" t="s">
        <v>134</v>
      </c>
    </row>
    <row r="30" spans="1:11" ht="15" customHeight="1" x14ac:dyDescent="0.25">
      <c r="A30" s="260" t="s">
        <v>176</v>
      </c>
      <c r="B30" s="261"/>
      <c r="C30" s="261"/>
      <c r="D30" s="101"/>
      <c r="E30" s="101"/>
      <c r="F30" s="101"/>
      <c r="G30" s="101"/>
      <c r="H30" s="101"/>
      <c r="I30" s="101"/>
      <c r="J30" s="101"/>
      <c r="K30" s="102"/>
    </row>
    <row r="31" spans="1:11" ht="15" customHeight="1" x14ac:dyDescent="0.25">
      <c r="A31" s="38"/>
      <c r="B31" s="38"/>
      <c r="C31" s="103" t="s">
        <v>177</v>
      </c>
      <c r="D31" s="38"/>
      <c r="E31" s="15">
        <v>116</v>
      </c>
      <c r="F31" s="73">
        <v>22</v>
      </c>
      <c r="G31" s="73">
        <v>19</v>
      </c>
      <c r="H31" s="73">
        <v>22</v>
      </c>
      <c r="I31" s="73">
        <v>21</v>
      </c>
      <c r="J31" s="73">
        <v>19</v>
      </c>
      <c r="K31" s="73">
        <v>13</v>
      </c>
    </row>
  </sheetData>
  <mergeCells count="4">
    <mergeCell ref="A1:K1"/>
    <mergeCell ref="A2:K2"/>
    <mergeCell ref="A3:K3"/>
    <mergeCell ref="A30:C3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showGridLines="0" topLeftCell="A29" zoomScaleNormal="100" workbookViewId="0">
      <selection sqref="A1:F1"/>
    </sheetView>
  </sheetViews>
  <sheetFormatPr baseColWidth="10" defaultColWidth="8.7109375" defaultRowHeight="15" x14ac:dyDescent="0.25"/>
  <cols>
    <col min="1" max="1" width="5" customWidth="1"/>
    <col min="2" max="2" width="26" customWidth="1"/>
    <col min="3" max="3" width="32" customWidth="1"/>
    <col min="4" max="4" width="14" customWidth="1"/>
    <col min="5" max="5" width="16" customWidth="1"/>
    <col min="6" max="6" width="28" customWidth="1"/>
  </cols>
  <sheetData>
    <row r="1" spans="1:6" ht="25.5" customHeight="1" x14ac:dyDescent="0.25">
      <c r="A1" s="14" t="s">
        <v>178</v>
      </c>
      <c r="B1" s="14"/>
      <c r="C1" s="14"/>
      <c r="D1" s="14"/>
      <c r="E1" s="14"/>
      <c r="F1" s="14"/>
    </row>
    <row r="2" spans="1:6" ht="15.75" customHeight="1" x14ac:dyDescent="0.25">
      <c r="A2" s="13" t="s">
        <v>179</v>
      </c>
      <c r="B2" s="13"/>
      <c r="C2" s="13"/>
      <c r="D2" s="13"/>
      <c r="E2" s="13"/>
      <c r="F2" s="13"/>
    </row>
    <row r="3" spans="1:6" ht="7.5" customHeight="1" x14ac:dyDescent="0.25"/>
    <row r="4" spans="1:6" ht="19.5" customHeight="1" x14ac:dyDescent="0.25">
      <c r="A4" s="198" t="s">
        <v>180</v>
      </c>
      <c r="B4" s="198"/>
      <c r="C4" s="198"/>
      <c r="D4" s="198"/>
      <c r="E4" s="198"/>
      <c r="F4" s="198"/>
    </row>
    <row r="5" spans="1:6" ht="15.75" customHeight="1" x14ac:dyDescent="0.25">
      <c r="A5" s="20" t="s">
        <v>13</v>
      </c>
      <c r="B5" s="20" t="s">
        <v>181</v>
      </c>
      <c r="C5" s="20" t="s">
        <v>182</v>
      </c>
      <c r="D5" s="20"/>
      <c r="E5" s="20" t="s">
        <v>183</v>
      </c>
      <c r="F5" s="20"/>
    </row>
    <row r="6" spans="1:6" ht="18" customHeight="1" x14ac:dyDescent="0.25">
      <c r="A6" s="24" t="s">
        <v>184</v>
      </c>
      <c r="B6" s="104" t="s">
        <v>185</v>
      </c>
      <c r="C6" s="199" t="s">
        <v>186</v>
      </c>
      <c r="D6" s="199"/>
      <c r="E6" s="28">
        <v>450000</v>
      </c>
      <c r="F6" s="82"/>
    </row>
    <row r="7" spans="1:6" ht="18" customHeight="1" x14ac:dyDescent="0.25">
      <c r="A7" s="30" t="s">
        <v>187</v>
      </c>
      <c r="B7" s="106" t="s">
        <v>188</v>
      </c>
      <c r="C7" s="200" t="s">
        <v>189</v>
      </c>
      <c r="D7" s="200"/>
      <c r="E7" s="34">
        <v>280000</v>
      </c>
      <c r="F7" s="88"/>
    </row>
    <row r="8" spans="1:6" ht="18" customHeight="1" x14ac:dyDescent="0.25">
      <c r="A8" s="24" t="s">
        <v>190</v>
      </c>
      <c r="B8" s="104" t="s">
        <v>191</v>
      </c>
      <c r="C8" s="199" t="s">
        <v>192</v>
      </c>
      <c r="D8" s="199"/>
      <c r="E8" s="28">
        <v>180000</v>
      </c>
      <c r="F8" s="82"/>
    </row>
    <row r="9" spans="1:6" ht="18" customHeight="1" x14ac:dyDescent="0.25">
      <c r="A9" s="30" t="s">
        <v>193</v>
      </c>
      <c r="B9" s="106" t="s">
        <v>194</v>
      </c>
      <c r="C9" s="200" t="s">
        <v>195</v>
      </c>
      <c r="D9" s="200"/>
      <c r="E9" s="34">
        <v>420000</v>
      </c>
      <c r="F9" s="88"/>
    </row>
    <row r="10" spans="1:6" ht="18" customHeight="1" x14ac:dyDescent="0.25">
      <c r="A10" s="24" t="s">
        <v>196</v>
      </c>
      <c r="B10" s="104" t="s">
        <v>197</v>
      </c>
      <c r="C10" s="199" t="s">
        <v>198</v>
      </c>
      <c r="D10" s="199"/>
      <c r="E10" s="28">
        <v>870000</v>
      </c>
      <c r="F10" s="82"/>
    </row>
    <row r="11" spans="1:6" ht="18" customHeight="1" x14ac:dyDescent="0.25">
      <c r="A11" s="30" t="s">
        <v>199</v>
      </c>
      <c r="B11" s="106" t="s">
        <v>200</v>
      </c>
      <c r="C11" s="200" t="s">
        <v>201</v>
      </c>
      <c r="D11" s="200"/>
      <c r="E11" s="34">
        <v>200000</v>
      </c>
      <c r="F11" s="88"/>
    </row>
    <row r="12" spans="1:6" ht="19.5" customHeight="1" x14ac:dyDescent="0.25">
      <c r="A12" s="201" t="s">
        <v>202</v>
      </c>
      <c r="B12" s="201"/>
      <c r="C12" s="201"/>
      <c r="D12" s="201"/>
      <c r="E12" s="108">
        <v>2400000</v>
      </c>
      <c r="F12" s="109"/>
    </row>
    <row r="13" spans="1:6" ht="19.5" customHeight="1" x14ac:dyDescent="0.25">
      <c r="A13" s="202" t="s">
        <v>203</v>
      </c>
      <c r="B13" s="202"/>
      <c r="C13" s="202"/>
      <c r="D13" s="30" t="s">
        <v>204</v>
      </c>
      <c r="E13" s="110">
        <v>152548</v>
      </c>
      <c r="F13" s="111" t="s">
        <v>205</v>
      </c>
    </row>
    <row r="15" spans="1:6" ht="19.5" customHeight="1" x14ac:dyDescent="0.25">
      <c r="A15" s="203" t="s">
        <v>206</v>
      </c>
      <c r="B15" s="203"/>
      <c r="C15" s="203"/>
      <c r="D15" s="203"/>
      <c r="E15" s="203"/>
      <c r="F15" s="203"/>
    </row>
    <row r="16" spans="1:6" ht="15.75" customHeight="1" x14ac:dyDescent="0.25">
      <c r="A16" s="20" t="s">
        <v>13</v>
      </c>
      <c r="B16" s="20" t="s">
        <v>181</v>
      </c>
      <c r="C16" s="20" t="s">
        <v>182</v>
      </c>
      <c r="D16" s="20"/>
      <c r="E16" s="20" t="s">
        <v>183</v>
      </c>
      <c r="F16" s="20"/>
    </row>
    <row r="17" spans="1:6" ht="18" customHeight="1" x14ac:dyDescent="0.25">
      <c r="A17" s="24" t="s">
        <v>184</v>
      </c>
      <c r="B17" s="104" t="s">
        <v>185</v>
      </c>
      <c r="C17" s="199" t="s">
        <v>207</v>
      </c>
      <c r="D17" s="199"/>
      <c r="E17" s="28">
        <v>480000</v>
      </c>
      <c r="F17" s="82"/>
    </row>
    <row r="18" spans="1:6" ht="18" customHeight="1" x14ac:dyDescent="0.25">
      <c r="A18" s="30" t="s">
        <v>187</v>
      </c>
      <c r="B18" s="106" t="s">
        <v>188</v>
      </c>
      <c r="C18" s="200" t="s">
        <v>189</v>
      </c>
      <c r="D18" s="200"/>
      <c r="E18" s="34">
        <v>280000</v>
      </c>
      <c r="F18" s="88"/>
    </row>
    <row r="19" spans="1:6" ht="18" customHeight="1" x14ac:dyDescent="0.25">
      <c r="A19" s="24" t="s">
        <v>190</v>
      </c>
      <c r="B19" s="104" t="s">
        <v>191</v>
      </c>
      <c r="C19" s="199" t="s">
        <v>192</v>
      </c>
      <c r="D19" s="199"/>
      <c r="E19" s="28">
        <v>180000</v>
      </c>
      <c r="F19" s="82"/>
    </row>
    <row r="20" spans="1:6" ht="18" customHeight="1" x14ac:dyDescent="0.25">
      <c r="A20" s="30" t="s">
        <v>193</v>
      </c>
      <c r="B20" s="106" t="s">
        <v>194</v>
      </c>
      <c r="C20" s="200" t="s">
        <v>195</v>
      </c>
      <c r="D20" s="200"/>
      <c r="E20" s="34">
        <v>420000</v>
      </c>
      <c r="F20" s="88"/>
    </row>
    <row r="21" spans="1:6" ht="18" customHeight="1" x14ac:dyDescent="0.25">
      <c r="A21" s="24" t="s">
        <v>196</v>
      </c>
      <c r="B21" s="104" t="s">
        <v>197</v>
      </c>
      <c r="C21" s="199" t="s">
        <v>198</v>
      </c>
      <c r="D21" s="199"/>
      <c r="E21" s="28">
        <v>840000</v>
      </c>
      <c r="F21" s="82"/>
    </row>
    <row r="22" spans="1:6" ht="18" customHeight="1" x14ac:dyDescent="0.25">
      <c r="A22" s="30" t="s">
        <v>199</v>
      </c>
      <c r="B22" s="106" t="s">
        <v>200</v>
      </c>
      <c r="C22" s="200" t="s">
        <v>201</v>
      </c>
      <c r="D22" s="200"/>
      <c r="E22" s="34">
        <v>200000</v>
      </c>
      <c r="F22" s="88"/>
    </row>
    <row r="23" spans="1:6" ht="19.5" customHeight="1" x14ac:dyDescent="0.25">
      <c r="A23" s="204" t="s">
        <v>208</v>
      </c>
      <c r="B23" s="204"/>
      <c r="C23" s="204"/>
      <c r="D23" s="204"/>
      <c r="E23" s="112">
        <v>2400000</v>
      </c>
      <c r="F23" s="113"/>
    </row>
    <row r="24" spans="1:6" ht="19.5" customHeight="1" x14ac:dyDescent="0.25">
      <c r="A24" s="202" t="s">
        <v>203</v>
      </c>
      <c r="B24" s="202"/>
      <c r="C24" s="202"/>
      <c r="D24" s="30" t="s">
        <v>204</v>
      </c>
      <c r="E24" s="110">
        <v>152548</v>
      </c>
      <c r="F24" s="111" t="s">
        <v>205</v>
      </c>
    </row>
    <row r="26" spans="1:6" ht="19.5" customHeight="1" x14ac:dyDescent="0.25">
      <c r="A26" s="205" t="s">
        <v>209</v>
      </c>
      <c r="B26" s="205"/>
      <c r="C26" s="205"/>
      <c r="D26" s="205"/>
      <c r="E26" s="205"/>
      <c r="F26" s="205"/>
    </row>
    <row r="27" spans="1:6" ht="15.75" customHeight="1" x14ac:dyDescent="0.25">
      <c r="A27" s="20" t="s">
        <v>13</v>
      </c>
      <c r="B27" s="20" t="s">
        <v>181</v>
      </c>
      <c r="C27" s="20" t="s">
        <v>182</v>
      </c>
      <c r="D27" s="20"/>
      <c r="E27" s="20" t="s">
        <v>183</v>
      </c>
      <c r="F27" s="20"/>
    </row>
    <row r="28" spans="1:6" ht="18" customHeight="1" x14ac:dyDescent="0.25">
      <c r="A28" s="24" t="s">
        <v>184</v>
      </c>
      <c r="B28" s="104" t="s">
        <v>185</v>
      </c>
      <c r="C28" s="199" t="s">
        <v>186</v>
      </c>
      <c r="D28" s="199"/>
      <c r="E28" s="28">
        <v>450000</v>
      </c>
      <c r="F28" s="82"/>
    </row>
    <row r="29" spans="1:6" ht="18" customHeight="1" x14ac:dyDescent="0.25">
      <c r="A29" s="30" t="s">
        <v>187</v>
      </c>
      <c r="B29" s="106" t="s">
        <v>188</v>
      </c>
      <c r="C29" s="200" t="s">
        <v>189</v>
      </c>
      <c r="D29" s="200"/>
      <c r="E29" s="34">
        <v>280000</v>
      </c>
      <c r="F29" s="88"/>
    </row>
    <row r="30" spans="1:6" ht="18" customHeight="1" x14ac:dyDescent="0.25">
      <c r="A30" s="24" t="s">
        <v>190</v>
      </c>
      <c r="B30" s="104" t="s">
        <v>191</v>
      </c>
      <c r="C30" s="199" t="s">
        <v>192</v>
      </c>
      <c r="D30" s="199"/>
      <c r="E30" s="28">
        <v>180000</v>
      </c>
      <c r="F30" s="82"/>
    </row>
    <row r="31" spans="1:6" ht="18" customHeight="1" x14ac:dyDescent="0.25">
      <c r="A31" s="30" t="s">
        <v>193</v>
      </c>
      <c r="B31" s="106" t="s">
        <v>194</v>
      </c>
      <c r="C31" s="200" t="s">
        <v>210</v>
      </c>
      <c r="D31" s="200"/>
      <c r="E31" s="34">
        <v>420000</v>
      </c>
      <c r="F31" s="88"/>
    </row>
    <row r="32" spans="1:6" ht="18" customHeight="1" x14ac:dyDescent="0.25">
      <c r="A32" s="24" t="s">
        <v>196</v>
      </c>
      <c r="B32" s="104" t="s">
        <v>197</v>
      </c>
      <c r="C32" s="199" t="s">
        <v>198</v>
      </c>
      <c r="D32" s="199"/>
      <c r="E32" s="28">
        <v>870000</v>
      </c>
      <c r="F32" s="82"/>
    </row>
    <row r="33" spans="1:6" ht="18" customHeight="1" x14ac:dyDescent="0.25">
      <c r="A33" s="30" t="s">
        <v>199</v>
      </c>
      <c r="B33" s="106" t="s">
        <v>200</v>
      </c>
      <c r="C33" s="200" t="s">
        <v>201</v>
      </c>
      <c r="D33" s="200"/>
      <c r="E33" s="34">
        <v>200000</v>
      </c>
      <c r="F33" s="88"/>
    </row>
    <row r="34" spans="1:6" ht="19.5" customHeight="1" x14ac:dyDescent="0.25">
      <c r="A34" s="206" t="s">
        <v>211</v>
      </c>
      <c r="B34" s="206"/>
      <c r="C34" s="206"/>
      <c r="D34" s="206"/>
      <c r="E34" s="114">
        <v>2400000</v>
      </c>
      <c r="F34" s="115"/>
    </row>
    <row r="35" spans="1:6" ht="19.5" customHeight="1" x14ac:dyDescent="0.25">
      <c r="A35" s="202" t="s">
        <v>203</v>
      </c>
      <c r="B35" s="202"/>
      <c r="C35" s="202"/>
      <c r="D35" s="30" t="s">
        <v>204</v>
      </c>
      <c r="E35" s="110">
        <v>152548</v>
      </c>
      <c r="F35" s="111" t="s">
        <v>205</v>
      </c>
    </row>
    <row r="37" spans="1:6" ht="21.75" customHeight="1" x14ac:dyDescent="0.25">
      <c r="A37" s="198" t="s">
        <v>212</v>
      </c>
      <c r="B37" s="198"/>
      <c r="C37" s="198"/>
      <c r="D37" s="198"/>
      <c r="E37" s="198"/>
      <c r="F37" s="198"/>
    </row>
    <row r="38" spans="1:6" ht="18" customHeight="1" x14ac:dyDescent="0.25">
      <c r="A38" s="207" t="s">
        <v>213</v>
      </c>
      <c r="B38" s="207"/>
      <c r="C38" s="207"/>
      <c r="D38" s="207"/>
      <c r="E38" s="116">
        <v>7200000</v>
      </c>
      <c r="F38" s="38"/>
    </row>
    <row r="39" spans="1:6" ht="18" customHeight="1" x14ac:dyDescent="0.25">
      <c r="A39" s="208" t="s">
        <v>214</v>
      </c>
      <c r="B39" s="208"/>
      <c r="C39" s="208"/>
      <c r="D39" s="208"/>
      <c r="E39" s="117">
        <v>457644</v>
      </c>
      <c r="F39" s="88"/>
    </row>
    <row r="40" spans="1:6" ht="24" customHeight="1" x14ac:dyDescent="0.25">
      <c r="A40" s="209" t="s">
        <v>215</v>
      </c>
      <c r="B40" s="209"/>
      <c r="C40" s="209"/>
      <c r="D40" s="209"/>
      <c r="E40" s="118">
        <v>457644</v>
      </c>
      <c r="F40" s="109"/>
    </row>
    <row r="42" spans="1:6" ht="13.5" customHeight="1" x14ac:dyDescent="0.25">
      <c r="A42" s="210" t="s">
        <v>216</v>
      </c>
      <c r="B42" s="210"/>
      <c r="C42" s="210"/>
      <c r="D42" s="210"/>
      <c r="E42" s="210"/>
      <c r="F42" s="210"/>
    </row>
    <row r="43" spans="1:6" ht="13.5" customHeight="1" x14ac:dyDescent="0.25">
      <c r="A43" s="210" t="s">
        <v>217</v>
      </c>
      <c r="B43" s="210"/>
      <c r="C43" s="210"/>
      <c r="D43" s="210"/>
      <c r="E43" s="210"/>
      <c r="F43" s="210"/>
    </row>
    <row r="44" spans="1:6" ht="13.5" customHeight="1" x14ac:dyDescent="0.25">
      <c r="A44" s="210" t="s">
        <v>218</v>
      </c>
      <c r="B44" s="210"/>
      <c r="C44" s="210"/>
      <c r="D44" s="210"/>
      <c r="E44" s="210"/>
      <c r="F44" s="210"/>
    </row>
    <row r="45" spans="1:6" ht="13.5" customHeight="1" x14ac:dyDescent="0.25">
      <c r="A45" s="210" t="s">
        <v>219</v>
      </c>
      <c r="B45" s="210"/>
      <c r="C45" s="210"/>
      <c r="D45" s="210"/>
      <c r="E45" s="210"/>
      <c r="F45" s="210"/>
    </row>
    <row r="46" spans="1:6" ht="13.5" customHeight="1" x14ac:dyDescent="0.25">
      <c r="A46" s="210" t="s">
        <v>220</v>
      </c>
      <c r="B46" s="210"/>
      <c r="C46" s="210"/>
      <c r="D46" s="210"/>
      <c r="E46" s="210"/>
      <c r="F46" s="210"/>
    </row>
  </sheetData>
  <mergeCells count="38">
    <mergeCell ref="A44:F44"/>
    <mergeCell ref="A45:F45"/>
    <mergeCell ref="A46:F46"/>
    <mergeCell ref="A38:D38"/>
    <mergeCell ref="A39:D39"/>
    <mergeCell ref="A40:D40"/>
    <mergeCell ref="A42:F42"/>
    <mergeCell ref="A43:F43"/>
    <mergeCell ref="C32:D32"/>
    <mergeCell ref="C33:D33"/>
    <mergeCell ref="A34:D34"/>
    <mergeCell ref="A35:C35"/>
    <mergeCell ref="A37:F37"/>
    <mergeCell ref="A26:F26"/>
    <mergeCell ref="C28:D28"/>
    <mergeCell ref="C29:D29"/>
    <mergeCell ref="C30:D30"/>
    <mergeCell ref="C31:D31"/>
    <mergeCell ref="C20:D20"/>
    <mergeCell ref="C21:D21"/>
    <mergeCell ref="C22:D22"/>
    <mergeCell ref="A23:D23"/>
    <mergeCell ref="A24:C24"/>
    <mergeCell ref="A13:C13"/>
    <mergeCell ref="A15:F15"/>
    <mergeCell ref="C17:D17"/>
    <mergeCell ref="C18:D18"/>
    <mergeCell ref="C19:D19"/>
    <mergeCell ref="C8:D8"/>
    <mergeCell ref="C9:D9"/>
    <mergeCell ref="C10:D10"/>
    <mergeCell ref="C11:D11"/>
    <mergeCell ref="A12:D12"/>
    <mergeCell ref="A1:F1"/>
    <mergeCell ref="A2:F2"/>
    <mergeCell ref="A4:F4"/>
    <mergeCell ref="C6:D6"/>
    <mergeCell ref="C7:D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showGridLines="0" topLeftCell="A5" zoomScaleNormal="100" workbookViewId="0">
      <selection activeCell="J15" sqref="J15"/>
    </sheetView>
  </sheetViews>
  <sheetFormatPr baseColWidth="10" defaultColWidth="8.7109375" defaultRowHeight="15" x14ac:dyDescent="0.25"/>
  <cols>
    <col min="1" max="1" width="5" customWidth="1"/>
    <col min="2" max="2" width="26" customWidth="1"/>
    <col min="3" max="3" width="30" customWidth="1"/>
    <col min="4" max="5" width="16" customWidth="1"/>
    <col min="6" max="6" width="28" customWidth="1"/>
  </cols>
  <sheetData>
    <row r="1" spans="1:6" ht="25.5" customHeight="1" x14ac:dyDescent="0.25">
      <c r="A1" s="14" t="s">
        <v>221</v>
      </c>
      <c r="B1" s="14"/>
      <c r="C1" s="14"/>
      <c r="D1" s="14"/>
      <c r="E1" s="14"/>
      <c r="F1" s="14"/>
    </row>
    <row r="2" spans="1:6" ht="15.75" customHeight="1" x14ac:dyDescent="0.25">
      <c r="A2" s="13" t="s">
        <v>222</v>
      </c>
      <c r="B2" s="13"/>
      <c r="C2" s="13"/>
      <c r="D2" s="13"/>
      <c r="E2" s="13"/>
      <c r="F2" s="13"/>
    </row>
    <row r="3" spans="1:6" ht="18" customHeight="1" x14ac:dyDescent="0.25">
      <c r="A3" s="10" t="s">
        <v>223</v>
      </c>
      <c r="B3" s="10"/>
      <c r="C3" s="10"/>
      <c r="D3" s="10"/>
      <c r="E3" s="10"/>
      <c r="F3" s="10"/>
    </row>
    <row r="4" spans="1:6" ht="15.75" customHeight="1" x14ac:dyDescent="0.25">
      <c r="A4" s="20" t="s">
        <v>13</v>
      </c>
      <c r="B4" s="20" t="s">
        <v>224</v>
      </c>
      <c r="C4" s="20" t="s">
        <v>225</v>
      </c>
      <c r="D4" s="20" t="s">
        <v>226</v>
      </c>
      <c r="E4" s="20" t="s">
        <v>227</v>
      </c>
      <c r="F4" s="20" t="s">
        <v>228</v>
      </c>
    </row>
    <row r="5" spans="1:6" ht="24" customHeight="1" x14ac:dyDescent="0.25">
      <c r="A5" s="30" t="s">
        <v>184</v>
      </c>
      <c r="B5" s="106" t="s">
        <v>229</v>
      </c>
      <c r="C5" s="119" t="s">
        <v>230</v>
      </c>
      <c r="D5" s="32" t="s">
        <v>231</v>
      </c>
      <c r="E5" s="41" t="s">
        <v>39</v>
      </c>
      <c r="F5" s="107" t="s">
        <v>232</v>
      </c>
    </row>
    <row r="6" spans="1:6" ht="24" customHeight="1" x14ac:dyDescent="0.25">
      <c r="A6" s="24" t="s">
        <v>187</v>
      </c>
      <c r="B6" s="104" t="s">
        <v>233</v>
      </c>
      <c r="C6" s="120" t="s">
        <v>234</v>
      </c>
      <c r="D6" s="26" t="s">
        <v>231</v>
      </c>
      <c r="E6" s="43" t="s">
        <v>39</v>
      </c>
      <c r="F6" s="105" t="s">
        <v>235</v>
      </c>
    </row>
    <row r="7" spans="1:6" ht="24" customHeight="1" x14ac:dyDescent="0.25">
      <c r="A7" s="30" t="s">
        <v>190</v>
      </c>
      <c r="B7" s="106" t="s">
        <v>236</v>
      </c>
      <c r="C7" s="119" t="s">
        <v>237</v>
      </c>
      <c r="D7" s="32" t="s">
        <v>231</v>
      </c>
      <c r="E7" s="41" t="s">
        <v>39</v>
      </c>
      <c r="F7" s="107" t="s">
        <v>238</v>
      </c>
    </row>
    <row r="8" spans="1:6" ht="24" customHeight="1" x14ac:dyDescent="0.25">
      <c r="A8" s="24" t="s">
        <v>193</v>
      </c>
      <c r="B8" s="104" t="s">
        <v>239</v>
      </c>
      <c r="C8" s="120" t="s">
        <v>240</v>
      </c>
      <c r="D8" s="26" t="s">
        <v>241</v>
      </c>
      <c r="E8" s="121">
        <v>89000</v>
      </c>
      <c r="F8" s="105" t="s">
        <v>242</v>
      </c>
    </row>
    <row r="9" spans="1:6" ht="24" customHeight="1" x14ac:dyDescent="0.25">
      <c r="A9" s="30" t="s">
        <v>196</v>
      </c>
      <c r="B9" s="106" t="s">
        <v>243</v>
      </c>
      <c r="C9" s="119" t="s">
        <v>244</v>
      </c>
      <c r="D9" s="32" t="s">
        <v>245</v>
      </c>
      <c r="E9" s="122" t="s">
        <v>246</v>
      </c>
      <c r="F9" s="107" t="s">
        <v>247</v>
      </c>
    </row>
    <row r="10" spans="1:6" ht="19.5" customHeight="1" x14ac:dyDescent="0.25">
      <c r="A10" s="209" t="s">
        <v>248</v>
      </c>
      <c r="B10" s="209"/>
      <c r="C10" s="209"/>
      <c r="D10" s="209"/>
      <c r="E10" s="123">
        <v>329000</v>
      </c>
      <c r="F10" s="109"/>
    </row>
    <row r="12" spans="1:6" ht="18" customHeight="1" x14ac:dyDescent="0.25">
      <c r="A12" s="10" t="s">
        <v>249</v>
      </c>
      <c r="B12" s="10"/>
      <c r="C12" s="10"/>
      <c r="D12" s="10"/>
      <c r="E12" s="10"/>
      <c r="F12" s="10"/>
    </row>
    <row r="13" spans="1:6" ht="23.25" customHeight="1" x14ac:dyDescent="0.25">
      <c r="A13" s="20" t="s">
        <v>13</v>
      </c>
      <c r="B13" s="20" t="s">
        <v>250</v>
      </c>
      <c r="C13" s="20" t="s">
        <v>251</v>
      </c>
      <c r="D13" s="20" t="s">
        <v>252</v>
      </c>
      <c r="E13" s="20" t="s">
        <v>253</v>
      </c>
      <c r="F13" s="20" t="s">
        <v>254</v>
      </c>
    </row>
    <row r="14" spans="1:6" ht="25.5" customHeight="1" x14ac:dyDescent="0.25">
      <c r="A14" s="30" t="s">
        <v>184</v>
      </c>
      <c r="B14" s="106" t="s">
        <v>255</v>
      </c>
      <c r="C14" s="32" t="s">
        <v>256</v>
      </c>
      <c r="D14" s="32" t="s">
        <v>257</v>
      </c>
      <c r="E14" s="34">
        <v>176400</v>
      </c>
      <c r="F14" s="107" t="s">
        <v>258</v>
      </c>
    </row>
    <row r="15" spans="1:6" ht="25.5" customHeight="1" x14ac:dyDescent="0.25">
      <c r="A15" s="24" t="s">
        <v>187</v>
      </c>
      <c r="B15" s="104" t="s">
        <v>259</v>
      </c>
      <c r="C15" s="26" t="s">
        <v>260</v>
      </c>
      <c r="D15" s="26" t="s">
        <v>261</v>
      </c>
      <c r="E15" s="28">
        <v>126000</v>
      </c>
      <c r="F15" s="105" t="s">
        <v>262</v>
      </c>
    </row>
    <row r="17" spans="1:6" ht="13.5" customHeight="1" x14ac:dyDescent="0.25">
      <c r="A17" s="210" t="s">
        <v>263</v>
      </c>
      <c r="B17" s="210"/>
      <c r="C17" s="210"/>
      <c r="D17" s="210"/>
      <c r="E17" s="210"/>
      <c r="F17" s="210"/>
    </row>
    <row r="18" spans="1:6" ht="13.5" customHeight="1" x14ac:dyDescent="0.25">
      <c r="A18" s="210" t="s">
        <v>264</v>
      </c>
      <c r="B18" s="210"/>
      <c r="C18" s="210"/>
      <c r="D18" s="210"/>
      <c r="E18" s="210"/>
      <c r="F18" s="210"/>
    </row>
  </sheetData>
  <mergeCells count="7">
    <mergeCell ref="A17:F17"/>
    <mergeCell ref="A18:F18"/>
    <mergeCell ref="A1:F1"/>
    <mergeCell ref="A2:F2"/>
    <mergeCell ref="A3:F3"/>
    <mergeCell ref="A10:D10"/>
    <mergeCell ref="A12:F1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showGridLines="0" zoomScaleNormal="100" workbookViewId="0">
      <selection activeCell="A11" sqref="A11:J11"/>
    </sheetView>
  </sheetViews>
  <sheetFormatPr baseColWidth="10" defaultColWidth="8.7109375" defaultRowHeight="15" x14ac:dyDescent="0.25"/>
  <cols>
    <col min="1" max="1" width="5" customWidth="1"/>
    <col min="2" max="2" width="47.42578125" bestFit="1" customWidth="1"/>
    <col min="3" max="3" width="8" customWidth="1"/>
    <col min="4" max="4" width="14" customWidth="1"/>
    <col min="5" max="5" width="8" customWidth="1"/>
    <col min="6" max="6" width="12" customWidth="1"/>
    <col min="7" max="7" width="10" customWidth="1"/>
    <col min="8" max="8" width="12" customWidth="1"/>
    <col min="9" max="9" width="10" customWidth="1"/>
    <col min="10" max="10" width="14" customWidth="1"/>
  </cols>
  <sheetData>
    <row r="1" spans="1:10" ht="25.5" customHeight="1" x14ac:dyDescent="0.25">
      <c r="A1" s="14" t="s">
        <v>265</v>
      </c>
      <c r="B1" s="14"/>
      <c r="C1" s="14"/>
      <c r="D1" s="14"/>
      <c r="E1" s="14"/>
      <c r="F1" s="14"/>
      <c r="G1" s="14"/>
      <c r="H1" s="14"/>
      <c r="I1" s="14"/>
      <c r="J1" s="14"/>
    </row>
    <row r="2" spans="1:10" ht="15.75" customHeight="1" x14ac:dyDescent="0.25">
      <c r="A2" s="13" t="s">
        <v>266</v>
      </c>
      <c r="B2" s="13"/>
      <c r="C2" s="13"/>
      <c r="D2" s="13"/>
      <c r="E2" s="13"/>
      <c r="F2" s="13"/>
      <c r="G2" s="13"/>
      <c r="H2" s="13"/>
      <c r="I2" s="13"/>
      <c r="J2" s="13"/>
    </row>
    <row r="3" spans="1:10" ht="7.5" customHeight="1" x14ac:dyDescent="0.25"/>
    <row r="4" spans="1:10" ht="15.75" customHeight="1" x14ac:dyDescent="0.25">
      <c r="A4" s="20" t="s">
        <v>267</v>
      </c>
      <c r="B4" s="20" t="s">
        <v>268</v>
      </c>
      <c r="C4" s="20" t="s">
        <v>269</v>
      </c>
      <c r="D4" s="20" t="s">
        <v>270</v>
      </c>
      <c r="E4" s="20" t="s">
        <v>121</v>
      </c>
      <c r="F4" s="20" t="s">
        <v>271</v>
      </c>
      <c r="G4" s="20" t="s">
        <v>272</v>
      </c>
      <c r="H4" s="20" t="s">
        <v>273</v>
      </c>
      <c r="I4" s="20" t="s">
        <v>274</v>
      </c>
      <c r="J4" s="20" t="s">
        <v>275</v>
      </c>
    </row>
    <row r="5" spans="1:10" ht="24" customHeight="1" x14ac:dyDescent="0.25">
      <c r="A5" s="24" t="s">
        <v>184</v>
      </c>
      <c r="B5" s="104" t="s">
        <v>1078</v>
      </c>
      <c r="C5" s="124">
        <v>1</v>
      </c>
      <c r="D5" s="28">
        <v>2000000</v>
      </c>
      <c r="E5" s="124">
        <v>30</v>
      </c>
      <c r="F5" s="28">
        <v>66667</v>
      </c>
      <c r="G5" s="124">
        <v>8</v>
      </c>
      <c r="H5" s="28">
        <v>8333</v>
      </c>
      <c r="I5" s="124">
        <v>116</v>
      </c>
      <c r="J5" s="108">
        <v>7733372</v>
      </c>
    </row>
    <row r="6" spans="1:10" ht="24" customHeight="1" x14ac:dyDescent="0.25">
      <c r="A6" s="30" t="s">
        <v>187</v>
      </c>
      <c r="B6" s="106" t="s">
        <v>1079</v>
      </c>
      <c r="C6" s="125">
        <v>1</v>
      </c>
      <c r="D6" s="34">
        <v>2000000</v>
      </c>
      <c r="E6" s="125">
        <v>30</v>
      </c>
      <c r="F6" s="34">
        <v>66667</v>
      </c>
      <c r="G6" s="125">
        <v>8</v>
      </c>
      <c r="H6" s="34">
        <v>8333</v>
      </c>
      <c r="I6" s="125">
        <v>116</v>
      </c>
      <c r="J6" s="112">
        <v>7733372</v>
      </c>
    </row>
    <row r="7" spans="1:10" ht="24" customHeight="1" x14ac:dyDescent="0.25">
      <c r="A7" s="24" t="s">
        <v>190</v>
      </c>
      <c r="B7" s="104" t="s">
        <v>276</v>
      </c>
      <c r="C7" s="124">
        <v>1</v>
      </c>
      <c r="D7" s="28">
        <v>2000000</v>
      </c>
      <c r="E7" s="124">
        <v>30</v>
      </c>
      <c r="F7" s="28">
        <v>66667</v>
      </c>
      <c r="G7" s="124">
        <v>8</v>
      </c>
      <c r="H7" s="28">
        <v>8333</v>
      </c>
      <c r="I7" s="124">
        <v>116</v>
      </c>
      <c r="J7" s="114">
        <v>7733372</v>
      </c>
    </row>
    <row r="8" spans="1:10" ht="21.75" customHeight="1" x14ac:dyDescent="0.25">
      <c r="A8" s="209" t="s">
        <v>277</v>
      </c>
      <c r="B8" s="209"/>
      <c r="C8" s="209"/>
      <c r="D8" s="209"/>
      <c r="E8" s="209"/>
      <c r="F8" s="209"/>
      <c r="G8" s="209"/>
      <c r="H8" s="209"/>
      <c r="I8" s="209"/>
      <c r="J8" s="126">
        <v>23200116</v>
      </c>
    </row>
    <row r="10" spans="1:10" ht="15.75" customHeight="1" x14ac:dyDescent="0.25">
      <c r="A10" s="211" t="s">
        <v>278</v>
      </c>
      <c r="B10" s="211"/>
      <c r="C10" s="211"/>
      <c r="D10" s="211"/>
      <c r="E10" s="211"/>
      <c r="F10" s="211"/>
      <c r="G10" s="211"/>
      <c r="H10" s="211"/>
      <c r="I10" s="211"/>
      <c r="J10" s="211"/>
    </row>
    <row r="11" spans="1:10" ht="15.75" customHeight="1" x14ac:dyDescent="0.25">
      <c r="A11" s="212" t="s">
        <v>279</v>
      </c>
      <c r="B11" s="212"/>
      <c r="C11" s="212"/>
      <c r="D11" s="212"/>
      <c r="E11" s="212"/>
      <c r="F11" s="212"/>
      <c r="G11" s="212"/>
      <c r="H11" s="212"/>
      <c r="I11" s="212"/>
      <c r="J11" s="212"/>
    </row>
    <row r="12" spans="1:10" ht="15.75" customHeight="1" x14ac:dyDescent="0.25">
      <c r="A12" s="211" t="s">
        <v>280</v>
      </c>
      <c r="B12" s="211"/>
      <c r="C12" s="211"/>
      <c r="D12" s="211"/>
      <c r="E12" s="211"/>
      <c r="F12" s="211"/>
      <c r="G12" s="211"/>
      <c r="H12" s="211"/>
      <c r="I12" s="211"/>
      <c r="J12" s="211"/>
    </row>
    <row r="13" spans="1:10" ht="15.75" customHeight="1" x14ac:dyDescent="0.25">
      <c r="A13" s="212" t="s">
        <v>281</v>
      </c>
      <c r="B13" s="212"/>
      <c r="C13" s="212"/>
      <c r="D13" s="212"/>
      <c r="E13" s="212"/>
      <c r="F13" s="212"/>
      <c r="G13" s="212"/>
      <c r="H13" s="212"/>
      <c r="I13" s="212"/>
      <c r="J13" s="212"/>
    </row>
    <row r="14" spans="1:10" ht="15.75" customHeight="1" x14ac:dyDescent="0.25">
      <c r="A14" s="211" t="s">
        <v>282</v>
      </c>
      <c r="B14" s="211"/>
      <c r="C14" s="211"/>
      <c r="D14" s="211"/>
      <c r="E14" s="211"/>
      <c r="F14" s="211"/>
      <c r="G14" s="211"/>
      <c r="H14" s="211"/>
      <c r="I14" s="211"/>
      <c r="J14" s="211"/>
    </row>
    <row r="15" spans="1:10" ht="15.75" customHeight="1" x14ac:dyDescent="0.25">
      <c r="A15" s="212" t="s">
        <v>283</v>
      </c>
      <c r="B15" s="212"/>
      <c r="C15" s="212"/>
      <c r="D15" s="212"/>
      <c r="E15" s="212"/>
      <c r="F15" s="212"/>
      <c r="G15" s="212"/>
      <c r="H15" s="212"/>
      <c r="I15" s="212"/>
      <c r="J15" s="212"/>
    </row>
  </sheetData>
  <mergeCells count="9">
    <mergeCell ref="A12:J12"/>
    <mergeCell ref="A13:J13"/>
    <mergeCell ref="A14:J14"/>
    <mergeCell ref="A15:J15"/>
    <mergeCell ref="A1:J1"/>
    <mergeCell ref="A2:J2"/>
    <mergeCell ref="A8:I8"/>
    <mergeCell ref="A10:J10"/>
    <mergeCell ref="A11:J1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showGridLines="0" zoomScaleNormal="100" workbookViewId="0">
      <selection activeCell="A3" sqref="A3:F3"/>
    </sheetView>
  </sheetViews>
  <sheetFormatPr baseColWidth="10" defaultColWidth="8.7109375" defaultRowHeight="15" x14ac:dyDescent="0.25"/>
  <cols>
    <col min="1" max="1" width="5" customWidth="1"/>
    <col min="2" max="2" width="7" customWidth="1"/>
    <col min="3" max="3" width="44" customWidth="1"/>
    <col min="4" max="4" width="14" customWidth="1"/>
    <col min="5" max="6" width="12" customWidth="1"/>
  </cols>
  <sheetData>
    <row r="1" spans="1:6" ht="25.5" customHeight="1" x14ac:dyDescent="0.25">
      <c r="A1" s="14" t="s">
        <v>284</v>
      </c>
      <c r="B1" s="14"/>
      <c r="C1" s="14"/>
      <c r="D1" s="14"/>
      <c r="E1" s="14"/>
      <c r="F1" s="14"/>
    </row>
    <row r="2" spans="1:6" ht="15.75" customHeight="1" x14ac:dyDescent="0.25">
      <c r="A2" s="13" t="s">
        <v>285</v>
      </c>
      <c r="B2" s="13"/>
      <c r="C2" s="13"/>
      <c r="D2" s="13"/>
      <c r="E2" s="13"/>
      <c r="F2" s="13"/>
    </row>
    <row r="3" spans="1:6" ht="18" customHeight="1" x14ac:dyDescent="0.25">
      <c r="A3" s="20" t="s">
        <v>121</v>
      </c>
      <c r="B3" s="20" t="s">
        <v>286</v>
      </c>
      <c r="C3" s="20" t="s">
        <v>122</v>
      </c>
      <c r="D3" s="20" t="s">
        <v>123</v>
      </c>
      <c r="E3" s="20" t="s">
        <v>274</v>
      </c>
      <c r="F3" s="20" t="s">
        <v>287</v>
      </c>
    </row>
    <row r="4" spans="1:6" ht="19.5" customHeight="1" x14ac:dyDescent="0.25">
      <c r="A4" s="21" t="s">
        <v>288</v>
      </c>
      <c r="B4" s="127" t="s">
        <v>131</v>
      </c>
      <c r="C4" s="77" t="s">
        <v>132</v>
      </c>
      <c r="D4" s="78" t="s">
        <v>133</v>
      </c>
      <c r="E4" s="79">
        <v>1</v>
      </c>
      <c r="F4" s="79" t="s">
        <v>289</v>
      </c>
    </row>
    <row r="5" spans="1:6" ht="19.5" customHeight="1" x14ac:dyDescent="0.25">
      <c r="A5" s="26" t="s">
        <v>288</v>
      </c>
      <c r="B5" s="24" t="s">
        <v>21</v>
      </c>
      <c r="C5" s="84" t="s">
        <v>135</v>
      </c>
      <c r="D5" s="85" t="s">
        <v>136</v>
      </c>
      <c r="E5" s="26">
        <v>21</v>
      </c>
      <c r="F5" s="26" t="s">
        <v>290</v>
      </c>
    </row>
    <row r="6" spans="1:6" ht="19.5" customHeight="1" x14ac:dyDescent="0.25">
      <c r="A6" s="32" t="s">
        <v>288</v>
      </c>
      <c r="B6" s="30" t="s">
        <v>25</v>
      </c>
      <c r="C6" s="90" t="s">
        <v>138</v>
      </c>
      <c r="D6" s="91" t="s">
        <v>139</v>
      </c>
      <c r="E6" s="32">
        <v>22</v>
      </c>
      <c r="F6" s="32" t="s">
        <v>291</v>
      </c>
    </row>
    <row r="7" spans="1:6" ht="19.5" customHeight="1" x14ac:dyDescent="0.25">
      <c r="A7" s="26" t="s">
        <v>288</v>
      </c>
      <c r="B7" s="24" t="s">
        <v>28</v>
      </c>
      <c r="C7" s="84" t="s">
        <v>140</v>
      </c>
      <c r="D7" s="94" t="s">
        <v>141</v>
      </c>
      <c r="E7" s="26">
        <v>22</v>
      </c>
      <c r="F7" s="26" t="s">
        <v>291</v>
      </c>
    </row>
    <row r="8" spans="1:6" ht="19.5" customHeight="1" x14ac:dyDescent="0.25">
      <c r="A8" s="32" t="s">
        <v>292</v>
      </c>
      <c r="B8" s="30" t="s">
        <v>35</v>
      </c>
      <c r="C8" s="90" t="s">
        <v>145</v>
      </c>
      <c r="D8" s="85" t="s">
        <v>136</v>
      </c>
      <c r="E8" s="32">
        <v>19</v>
      </c>
      <c r="F8" s="32" t="s">
        <v>291</v>
      </c>
    </row>
    <row r="9" spans="1:6" ht="19.5" customHeight="1" x14ac:dyDescent="0.25">
      <c r="A9" s="26" t="s">
        <v>292</v>
      </c>
      <c r="B9" s="24" t="s">
        <v>41</v>
      </c>
      <c r="C9" s="84" t="s">
        <v>146</v>
      </c>
      <c r="D9" s="91" t="s">
        <v>139</v>
      </c>
      <c r="E9" s="26">
        <v>19</v>
      </c>
      <c r="F9" s="26" t="s">
        <v>291</v>
      </c>
    </row>
    <row r="10" spans="1:6" ht="19.5" customHeight="1" x14ac:dyDescent="0.25">
      <c r="A10" s="32" t="s">
        <v>292</v>
      </c>
      <c r="B10" s="30" t="s">
        <v>44</v>
      </c>
      <c r="C10" s="90" t="s">
        <v>147</v>
      </c>
      <c r="D10" s="94" t="s">
        <v>141</v>
      </c>
      <c r="E10" s="32">
        <v>19</v>
      </c>
      <c r="F10" s="32" t="s">
        <v>291</v>
      </c>
    </row>
    <row r="11" spans="1:6" ht="19.5" customHeight="1" x14ac:dyDescent="0.25">
      <c r="A11" s="26" t="s">
        <v>293</v>
      </c>
      <c r="B11" s="24" t="s">
        <v>61</v>
      </c>
      <c r="C11" s="84" t="s">
        <v>150</v>
      </c>
      <c r="D11" s="85" t="s">
        <v>136</v>
      </c>
      <c r="E11" s="26">
        <v>22</v>
      </c>
      <c r="F11" s="26" t="s">
        <v>291</v>
      </c>
    </row>
    <row r="12" spans="1:6" ht="19.5" customHeight="1" x14ac:dyDescent="0.25">
      <c r="A12" s="32" t="s">
        <v>293</v>
      </c>
      <c r="B12" s="30" t="s">
        <v>64</v>
      </c>
      <c r="C12" s="90" t="s">
        <v>151</v>
      </c>
      <c r="D12" s="91" t="s">
        <v>139</v>
      </c>
      <c r="E12" s="32">
        <v>22</v>
      </c>
      <c r="F12" s="32" t="s">
        <v>291</v>
      </c>
    </row>
    <row r="13" spans="1:6" ht="19.5" customHeight="1" x14ac:dyDescent="0.25">
      <c r="A13" s="26" t="s">
        <v>293</v>
      </c>
      <c r="B13" s="24" t="s">
        <v>66</v>
      </c>
      <c r="C13" s="84" t="s">
        <v>152</v>
      </c>
      <c r="D13" s="94" t="s">
        <v>141</v>
      </c>
      <c r="E13" s="26">
        <v>22</v>
      </c>
      <c r="F13" s="26" t="s">
        <v>291</v>
      </c>
    </row>
    <row r="14" spans="1:6" ht="19.5" customHeight="1" x14ac:dyDescent="0.25">
      <c r="A14" s="32" t="s">
        <v>294</v>
      </c>
      <c r="B14" s="30" t="s">
        <v>86</v>
      </c>
      <c r="C14" s="90" t="s">
        <v>155</v>
      </c>
      <c r="D14" s="85" t="s">
        <v>136</v>
      </c>
      <c r="E14" s="32">
        <v>21</v>
      </c>
      <c r="F14" s="32" t="s">
        <v>291</v>
      </c>
    </row>
    <row r="15" spans="1:6" ht="19.5" customHeight="1" x14ac:dyDescent="0.25">
      <c r="A15" s="26" t="s">
        <v>294</v>
      </c>
      <c r="B15" s="24" t="s">
        <v>89</v>
      </c>
      <c r="C15" s="84" t="s">
        <v>156</v>
      </c>
      <c r="D15" s="91" t="s">
        <v>139</v>
      </c>
      <c r="E15" s="26">
        <v>21</v>
      </c>
      <c r="F15" s="26" t="s">
        <v>291</v>
      </c>
    </row>
    <row r="16" spans="1:6" ht="19.5" customHeight="1" x14ac:dyDescent="0.25">
      <c r="A16" s="32" t="s">
        <v>294</v>
      </c>
      <c r="B16" s="30" t="s">
        <v>91</v>
      </c>
      <c r="C16" s="90" t="s">
        <v>157</v>
      </c>
      <c r="D16" s="94" t="s">
        <v>141</v>
      </c>
      <c r="E16" s="32">
        <v>21</v>
      </c>
      <c r="F16" s="32" t="s">
        <v>291</v>
      </c>
    </row>
    <row r="17" spans="1:6" ht="19.5" customHeight="1" x14ac:dyDescent="0.25">
      <c r="A17" s="26" t="s">
        <v>295</v>
      </c>
      <c r="B17" s="24" t="s">
        <v>160</v>
      </c>
      <c r="C17" s="84" t="s">
        <v>161</v>
      </c>
      <c r="D17" s="85" t="s">
        <v>136</v>
      </c>
      <c r="E17" s="26">
        <v>19</v>
      </c>
      <c r="F17" s="26" t="s">
        <v>291</v>
      </c>
    </row>
    <row r="18" spans="1:6" ht="19.5" customHeight="1" x14ac:dyDescent="0.25">
      <c r="A18" s="32" t="s">
        <v>295</v>
      </c>
      <c r="B18" s="30" t="s">
        <v>162</v>
      </c>
      <c r="C18" s="90" t="s">
        <v>163</v>
      </c>
      <c r="D18" s="91" t="s">
        <v>139</v>
      </c>
      <c r="E18" s="32">
        <v>19</v>
      </c>
      <c r="F18" s="32" t="s">
        <v>291</v>
      </c>
    </row>
    <row r="19" spans="1:6" ht="19.5" customHeight="1" x14ac:dyDescent="0.25">
      <c r="A19" s="26" t="s">
        <v>295</v>
      </c>
      <c r="B19" s="24" t="s">
        <v>164</v>
      </c>
      <c r="C19" s="84" t="s">
        <v>165</v>
      </c>
      <c r="D19" s="94" t="s">
        <v>141</v>
      </c>
      <c r="E19" s="26">
        <v>19</v>
      </c>
      <c r="F19" s="26" t="s">
        <v>291</v>
      </c>
    </row>
    <row r="20" spans="1:6" ht="19.5" customHeight="1" x14ac:dyDescent="0.25">
      <c r="A20" s="32" t="s">
        <v>296</v>
      </c>
      <c r="B20" s="30" t="s">
        <v>297</v>
      </c>
      <c r="C20" s="90" t="s">
        <v>298</v>
      </c>
      <c r="D20" s="85" t="s">
        <v>136</v>
      </c>
      <c r="E20" s="32">
        <v>13</v>
      </c>
      <c r="F20" s="32" t="s">
        <v>291</v>
      </c>
    </row>
    <row r="21" spans="1:6" ht="19.5" customHeight="1" x14ac:dyDescent="0.25">
      <c r="A21" s="26" t="s">
        <v>296</v>
      </c>
      <c r="B21" s="24" t="s">
        <v>168</v>
      </c>
      <c r="C21" s="84" t="s">
        <v>169</v>
      </c>
      <c r="D21" s="91" t="s">
        <v>139</v>
      </c>
      <c r="E21" s="26">
        <v>13</v>
      </c>
      <c r="F21" s="26" t="s">
        <v>291</v>
      </c>
    </row>
    <row r="22" spans="1:6" ht="19.5" customHeight="1" x14ac:dyDescent="0.25">
      <c r="A22" s="32" t="s">
        <v>296</v>
      </c>
      <c r="B22" s="30" t="s">
        <v>170</v>
      </c>
      <c r="C22" s="90" t="s">
        <v>171</v>
      </c>
      <c r="D22" s="94" t="s">
        <v>141</v>
      </c>
      <c r="E22" s="32">
        <v>13</v>
      </c>
      <c r="F22" s="32" t="s">
        <v>291</v>
      </c>
    </row>
    <row r="23" spans="1:6" ht="19.5" customHeight="1" x14ac:dyDescent="0.25">
      <c r="A23" s="21" t="s">
        <v>296</v>
      </c>
      <c r="B23" s="127" t="s">
        <v>174</v>
      </c>
      <c r="C23" s="77" t="s">
        <v>175</v>
      </c>
      <c r="D23" s="78" t="s">
        <v>133</v>
      </c>
      <c r="E23" s="79">
        <v>1</v>
      </c>
      <c r="F23" s="79" t="s">
        <v>299</v>
      </c>
    </row>
    <row r="25" spans="1:6" ht="18" customHeight="1" x14ac:dyDescent="0.25">
      <c r="A25" s="10" t="s">
        <v>300</v>
      </c>
      <c r="B25" s="10"/>
      <c r="C25" s="10"/>
      <c r="D25" s="10"/>
      <c r="E25" s="10"/>
      <c r="F25" s="10"/>
    </row>
    <row r="26" spans="1:6" ht="22.5" customHeight="1" x14ac:dyDescent="0.25">
      <c r="A26" s="20" t="s">
        <v>301</v>
      </c>
      <c r="B26" s="20"/>
      <c r="C26" s="20" t="s">
        <v>302</v>
      </c>
      <c r="D26" s="20" t="s">
        <v>303</v>
      </c>
      <c r="E26" s="20" t="s">
        <v>304</v>
      </c>
      <c r="F26" s="20" t="s">
        <v>305</v>
      </c>
    </row>
    <row r="27" spans="1:6" ht="19.5" customHeight="1" x14ac:dyDescent="0.25">
      <c r="A27" s="16" t="s">
        <v>3</v>
      </c>
      <c r="B27" s="25"/>
      <c r="C27" s="104" t="s">
        <v>4</v>
      </c>
      <c r="D27" s="15">
        <v>115</v>
      </c>
      <c r="E27" s="124">
        <v>2</v>
      </c>
      <c r="F27" s="128">
        <v>117</v>
      </c>
    </row>
    <row r="28" spans="1:6" ht="19.5" customHeight="1" x14ac:dyDescent="0.25">
      <c r="A28" s="18" t="s">
        <v>6</v>
      </c>
      <c r="B28" s="31"/>
      <c r="C28" s="104" t="s">
        <v>7</v>
      </c>
      <c r="D28" s="15">
        <v>116</v>
      </c>
      <c r="E28" s="124">
        <v>2</v>
      </c>
      <c r="F28" s="128">
        <v>118</v>
      </c>
    </row>
    <row r="29" spans="1:6" ht="19.5" customHeight="1" x14ac:dyDescent="0.25">
      <c r="A29" s="19" t="s">
        <v>9</v>
      </c>
      <c r="B29" s="25"/>
      <c r="C29" s="104" t="s">
        <v>10</v>
      </c>
      <c r="D29" s="15">
        <v>116</v>
      </c>
      <c r="E29" s="124">
        <v>2</v>
      </c>
      <c r="F29" s="128">
        <v>118</v>
      </c>
    </row>
  </sheetData>
  <mergeCells count="3">
    <mergeCell ref="A1:F1"/>
    <mergeCell ref="A2:F2"/>
    <mergeCell ref="A25:F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showGridLines="0" topLeftCell="A2" zoomScaleNormal="100" workbookViewId="0">
      <selection activeCell="J6" sqref="J6"/>
    </sheetView>
  </sheetViews>
  <sheetFormatPr baseColWidth="10" defaultColWidth="8.7109375" defaultRowHeight="15" x14ac:dyDescent="0.25"/>
  <cols>
    <col min="1" max="1" width="9" customWidth="1"/>
    <col min="2" max="2" width="22" customWidth="1"/>
    <col min="3" max="3" width="42" customWidth="1"/>
    <col min="4" max="4" width="14" customWidth="1"/>
    <col min="5" max="7" width="12" customWidth="1"/>
    <col min="8" max="8" width="10" customWidth="1"/>
  </cols>
  <sheetData>
    <row r="1" spans="1:8" ht="33.75" customHeight="1" x14ac:dyDescent="0.25">
      <c r="A1" s="213" t="s">
        <v>306</v>
      </c>
      <c r="B1" s="213"/>
      <c r="C1" s="213"/>
      <c r="D1" s="213"/>
      <c r="E1" s="213"/>
      <c r="F1" s="213"/>
      <c r="G1" s="213"/>
      <c r="H1" s="213"/>
    </row>
    <row r="2" spans="1:8" ht="18" customHeight="1" x14ac:dyDescent="0.25">
      <c r="A2" s="214" t="s">
        <v>307</v>
      </c>
      <c r="B2" s="214"/>
      <c r="C2" s="214"/>
      <c r="D2" s="214"/>
      <c r="E2" s="214"/>
      <c r="F2" s="214"/>
      <c r="G2" s="214"/>
      <c r="H2" s="214"/>
    </row>
    <row r="3" spans="1:8" ht="21.75" customHeight="1" x14ac:dyDescent="0.25">
      <c r="A3" s="56" t="s">
        <v>286</v>
      </c>
      <c r="B3" s="56" t="s">
        <v>308</v>
      </c>
      <c r="C3" s="56" t="s">
        <v>309</v>
      </c>
      <c r="D3" s="56" t="s">
        <v>310</v>
      </c>
      <c r="E3" s="56" t="s">
        <v>311</v>
      </c>
      <c r="F3" s="56" t="s">
        <v>312</v>
      </c>
      <c r="G3" s="56" t="s">
        <v>313</v>
      </c>
      <c r="H3" s="56" t="s">
        <v>314</v>
      </c>
    </row>
    <row r="4" spans="1:8" ht="48" customHeight="1" x14ac:dyDescent="0.25">
      <c r="A4" s="129" t="s">
        <v>315</v>
      </c>
      <c r="B4" s="130" t="s">
        <v>316</v>
      </c>
      <c r="C4" s="131" t="s">
        <v>317</v>
      </c>
      <c r="D4" s="132" t="s">
        <v>318</v>
      </c>
      <c r="E4" s="132" t="s">
        <v>319</v>
      </c>
      <c r="F4" s="132" t="s">
        <v>320</v>
      </c>
      <c r="G4" s="132" t="s">
        <v>321</v>
      </c>
      <c r="H4" s="56" t="s">
        <v>314</v>
      </c>
    </row>
    <row r="5" spans="1:8" ht="48" customHeight="1" x14ac:dyDescent="0.25">
      <c r="A5" s="134" t="s">
        <v>322</v>
      </c>
      <c r="B5" s="135" t="s">
        <v>323</v>
      </c>
      <c r="C5" s="136" t="s">
        <v>324</v>
      </c>
      <c r="D5" s="137" t="s">
        <v>325</v>
      </c>
      <c r="E5" s="137" t="s">
        <v>326</v>
      </c>
      <c r="F5" s="137" t="s">
        <v>320</v>
      </c>
      <c r="G5" s="137" t="s">
        <v>321</v>
      </c>
      <c r="H5" s="224"/>
    </row>
    <row r="6" spans="1:8" ht="48" customHeight="1" x14ac:dyDescent="0.25">
      <c r="A6" s="129" t="s">
        <v>327</v>
      </c>
      <c r="B6" s="130" t="s">
        <v>328</v>
      </c>
      <c r="C6" s="131" t="s">
        <v>329</v>
      </c>
      <c r="D6" s="132" t="s">
        <v>330</v>
      </c>
      <c r="E6" s="132" t="s">
        <v>331</v>
      </c>
      <c r="F6" s="132" t="s">
        <v>320</v>
      </c>
      <c r="G6" s="132" t="s">
        <v>321</v>
      </c>
      <c r="H6" s="133"/>
    </row>
    <row r="7" spans="1:8" ht="48" customHeight="1" x14ac:dyDescent="0.25">
      <c r="A7" s="134" t="s">
        <v>332</v>
      </c>
      <c r="B7" s="135" t="s">
        <v>333</v>
      </c>
      <c r="C7" s="136" t="s">
        <v>334</v>
      </c>
      <c r="D7" s="137" t="s">
        <v>335</v>
      </c>
      <c r="E7" s="137" t="s">
        <v>336</v>
      </c>
      <c r="F7" s="137" t="s">
        <v>320</v>
      </c>
      <c r="G7" s="137" t="s">
        <v>321</v>
      </c>
      <c r="H7" s="133"/>
    </row>
    <row r="8" spans="1:8" ht="48" customHeight="1" x14ac:dyDescent="0.25">
      <c r="A8" s="129" t="s">
        <v>337</v>
      </c>
      <c r="B8" s="130" t="s">
        <v>338</v>
      </c>
      <c r="C8" s="131" t="s">
        <v>339</v>
      </c>
      <c r="D8" s="132" t="s">
        <v>340</v>
      </c>
      <c r="E8" s="132" t="s">
        <v>341</v>
      </c>
      <c r="F8" s="132" t="s">
        <v>342</v>
      </c>
      <c r="G8" s="132" t="s">
        <v>321</v>
      </c>
      <c r="H8" s="133"/>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showGridLines="0" topLeftCell="A17" zoomScaleNormal="100" workbookViewId="0">
      <selection activeCell="I4" sqref="I4"/>
    </sheetView>
  </sheetViews>
  <sheetFormatPr baseColWidth="10" defaultColWidth="8.7109375" defaultRowHeight="15" x14ac:dyDescent="0.25"/>
  <cols>
    <col min="1" max="1" width="22" customWidth="1"/>
    <col min="2" max="2" width="30" customWidth="1"/>
    <col min="3" max="3" width="9" customWidth="1"/>
    <col min="4" max="4" width="42" customWidth="1"/>
    <col min="5" max="5" width="22" customWidth="1"/>
    <col min="6" max="6" width="25.42578125" customWidth="1"/>
  </cols>
  <sheetData>
    <row r="1" spans="1:6" ht="36" customHeight="1" thickBot="1" x14ac:dyDescent="0.3">
      <c r="A1" s="225" t="s">
        <v>343</v>
      </c>
      <c r="B1" s="225"/>
      <c r="C1" s="225"/>
      <c r="D1" s="225"/>
      <c r="E1" s="225"/>
      <c r="F1" s="225"/>
    </row>
    <row r="2" spans="1:6" ht="18" customHeight="1" x14ac:dyDescent="0.25">
      <c r="A2" s="226" t="s">
        <v>344</v>
      </c>
      <c r="B2" s="226"/>
      <c r="C2" s="226"/>
      <c r="D2" s="226"/>
      <c r="E2" s="226"/>
      <c r="F2" s="226"/>
    </row>
    <row r="3" spans="1:6" ht="21.75" customHeight="1" x14ac:dyDescent="0.25">
      <c r="A3" s="227" t="s">
        <v>345</v>
      </c>
      <c r="B3" s="227" t="s">
        <v>346</v>
      </c>
      <c r="C3" s="227" t="s">
        <v>347</v>
      </c>
      <c r="D3" s="227" t="s">
        <v>348</v>
      </c>
      <c r="E3" s="227" t="s">
        <v>349</v>
      </c>
      <c r="F3" s="227" t="s">
        <v>350</v>
      </c>
    </row>
    <row r="4" spans="1:6" ht="49.5" customHeight="1" x14ac:dyDescent="0.25">
      <c r="A4" s="228" t="s">
        <v>351</v>
      </c>
      <c r="B4" s="229" t="s">
        <v>352</v>
      </c>
      <c r="C4" s="230" t="s">
        <v>3</v>
      </c>
      <c r="D4" s="231" t="s">
        <v>353</v>
      </c>
      <c r="E4" s="231" t="s">
        <v>354</v>
      </c>
      <c r="F4" s="230" t="s">
        <v>355</v>
      </c>
    </row>
    <row r="5" spans="1:6" ht="49.5" customHeight="1" x14ac:dyDescent="0.25">
      <c r="A5" s="232" t="s">
        <v>356</v>
      </c>
      <c r="B5" s="233" t="s">
        <v>357</v>
      </c>
      <c r="C5" s="234" t="s">
        <v>76</v>
      </c>
      <c r="D5" s="235" t="s">
        <v>358</v>
      </c>
      <c r="E5" s="235" t="s">
        <v>359</v>
      </c>
      <c r="F5" s="234" t="s">
        <v>76</v>
      </c>
    </row>
    <row r="6" spans="1:6" ht="49.5" customHeight="1" x14ac:dyDescent="0.25">
      <c r="A6" s="228" t="s">
        <v>360</v>
      </c>
      <c r="B6" s="229" t="s">
        <v>7</v>
      </c>
      <c r="C6" s="230" t="s">
        <v>6</v>
      </c>
      <c r="D6" s="231" t="s">
        <v>361</v>
      </c>
      <c r="E6" s="231" t="s">
        <v>362</v>
      </c>
      <c r="F6" s="230" t="s">
        <v>355</v>
      </c>
    </row>
    <row r="7" spans="1:6" ht="49.5" customHeight="1" x14ac:dyDescent="0.25">
      <c r="A7" s="232" t="s">
        <v>360</v>
      </c>
      <c r="B7" s="233" t="s">
        <v>10</v>
      </c>
      <c r="C7" s="234" t="s">
        <v>9</v>
      </c>
      <c r="D7" s="235" t="s">
        <v>363</v>
      </c>
      <c r="E7" s="235" t="s">
        <v>364</v>
      </c>
      <c r="F7" s="234" t="s">
        <v>355</v>
      </c>
    </row>
    <row r="8" spans="1:6" ht="49.5" customHeight="1" x14ac:dyDescent="0.25">
      <c r="A8" s="228" t="s">
        <v>365</v>
      </c>
      <c r="B8" s="229" t="s">
        <v>366</v>
      </c>
      <c r="C8" s="230" t="s">
        <v>367</v>
      </c>
      <c r="D8" s="231" t="s">
        <v>368</v>
      </c>
      <c r="E8" s="231" t="s">
        <v>369</v>
      </c>
      <c r="F8" s="230" t="s">
        <v>76</v>
      </c>
    </row>
    <row r="9" spans="1:6" x14ac:dyDescent="0.25">
      <c r="A9" s="236"/>
      <c r="B9" s="236"/>
      <c r="C9" s="236"/>
      <c r="D9" s="236"/>
      <c r="E9" s="236"/>
      <c r="F9" s="236"/>
    </row>
    <row r="10" spans="1:6" ht="19.5" customHeight="1" x14ac:dyDescent="0.25">
      <c r="A10" s="237" t="s">
        <v>370</v>
      </c>
      <c r="B10" s="237"/>
      <c r="C10" s="237"/>
      <c r="D10" s="237"/>
      <c r="E10" s="237"/>
      <c r="F10" s="237"/>
    </row>
    <row r="11" spans="1:6" ht="19.5" customHeight="1" x14ac:dyDescent="0.25">
      <c r="A11" s="238" t="s">
        <v>371</v>
      </c>
      <c r="B11" s="238"/>
      <c r="C11" s="238"/>
      <c r="D11" s="238" t="s">
        <v>372</v>
      </c>
      <c r="E11" s="238" t="s">
        <v>373</v>
      </c>
      <c r="F11" s="238" t="s">
        <v>374</v>
      </c>
    </row>
    <row r="12" spans="1:6" ht="21.75" customHeight="1" x14ac:dyDescent="0.25">
      <c r="A12" s="239" t="s">
        <v>352</v>
      </c>
      <c r="B12" s="239"/>
      <c r="C12" s="239"/>
      <c r="D12" s="240">
        <v>75000</v>
      </c>
      <c r="E12" s="240">
        <v>45000</v>
      </c>
      <c r="F12" s="240">
        <f>D12+E12</f>
        <v>120000</v>
      </c>
    </row>
    <row r="13" spans="1:6" ht="21.75" customHeight="1" x14ac:dyDescent="0.25">
      <c r="A13" s="241" t="s">
        <v>7</v>
      </c>
      <c r="B13" s="241"/>
      <c r="C13" s="241"/>
      <c r="D13" s="242">
        <v>75000</v>
      </c>
      <c r="E13" s="242">
        <v>45000</v>
      </c>
      <c r="F13" s="242">
        <f>D13+E13</f>
        <v>120000</v>
      </c>
    </row>
    <row r="14" spans="1:6" ht="21.75" customHeight="1" x14ac:dyDescent="0.25">
      <c r="A14" s="239" t="s">
        <v>10</v>
      </c>
      <c r="B14" s="239"/>
      <c r="C14" s="239"/>
      <c r="D14" s="240">
        <v>75000</v>
      </c>
      <c r="E14" s="240">
        <v>45000</v>
      </c>
      <c r="F14" s="240">
        <f>D14+E14</f>
        <v>120000</v>
      </c>
    </row>
    <row r="15" spans="1:6" ht="21.75" customHeight="1" x14ac:dyDescent="0.25">
      <c r="A15" s="237" t="s">
        <v>375</v>
      </c>
      <c r="B15" s="237"/>
      <c r="C15" s="237"/>
      <c r="D15" s="243">
        <f>SUM(D12:D14)</f>
        <v>225000</v>
      </c>
      <c r="E15" s="243">
        <f>SUM(E12:E14)</f>
        <v>135000</v>
      </c>
      <c r="F15" s="243">
        <f>SUM(F12:F14)</f>
        <v>360000</v>
      </c>
    </row>
    <row r="16" spans="1:6" x14ac:dyDescent="0.25">
      <c r="A16" s="236"/>
      <c r="B16" s="236"/>
      <c r="C16" s="236"/>
      <c r="D16" s="236"/>
      <c r="E16" s="236"/>
      <c r="F16" s="236"/>
    </row>
    <row r="17" spans="1:6" x14ac:dyDescent="0.25">
      <c r="A17" s="236"/>
      <c r="B17" s="236"/>
      <c r="C17" s="236"/>
      <c r="D17" s="236"/>
      <c r="E17" s="236"/>
      <c r="F17" s="236"/>
    </row>
    <row r="18" spans="1:6" ht="19.5" customHeight="1" x14ac:dyDescent="0.25">
      <c r="A18" s="237" t="s">
        <v>1080</v>
      </c>
      <c r="B18" s="237"/>
      <c r="C18" s="237"/>
      <c r="D18" s="237"/>
      <c r="E18" s="237"/>
      <c r="F18" s="237"/>
    </row>
    <row r="19" spans="1:6" ht="30" customHeight="1" x14ac:dyDescent="0.25">
      <c r="A19" s="238" t="s">
        <v>376</v>
      </c>
      <c r="B19" s="238" t="s">
        <v>377</v>
      </c>
      <c r="C19" s="238" t="s">
        <v>378</v>
      </c>
      <c r="D19" s="244" t="s">
        <v>379</v>
      </c>
      <c r="E19" s="244"/>
      <c r="F19" s="245" t="s">
        <v>380</v>
      </c>
    </row>
    <row r="20" spans="1:6" ht="42" customHeight="1" x14ac:dyDescent="0.25">
      <c r="A20" s="246" t="s">
        <v>381</v>
      </c>
      <c r="B20" s="247" t="s">
        <v>382</v>
      </c>
      <c r="C20" s="248" t="s">
        <v>383</v>
      </c>
      <c r="D20" s="249" t="s">
        <v>384</v>
      </c>
      <c r="E20" s="249"/>
      <c r="F20" s="250" t="s">
        <v>385</v>
      </c>
    </row>
    <row r="21" spans="1:6" ht="42" customHeight="1" x14ac:dyDescent="0.25">
      <c r="A21" s="251" t="s">
        <v>386</v>
      </c>
      <c r="B21" s="252" t="s">
        <v>387</v>
      </c>
      <c r="C21" s="253" t="s">
        <v>388</v>
      </c>
      <c r="D21" s="254" t="s">
        <v>389</v>
      </c>
      <c r="E21" s="254"/>
      <c r="F21" s="255" t="s">
        <v>390</v>
      </c>
    </row>
    <row r="22" spans="1:6" ht="42" customHeight="1" x14ac:dyDescent="0.25">
      <c r="A22" s="246" t="s">
        <v>391</v>
      </c>
      <c r="B22" s="247" t="s">
        <v>392</v>
      </c>
      <c r="C22" s="248" t="s">
        <v>393</v>
      </c>
      <c r="D22" s="249" t="s">
        <v>394</v>
      </c>
      <c r="E22" s="249"/>
      <c r="F22" s="250" t="s">
        <v>395</v>
      </c>
    </row>
    <row r="23" spans="1:6" ht="42" customHeight="1" x14ac:dyDescent="0.25">
      <c r="A23" s="251" t="s">
        <v>396</v>
      </c>
      <c r="B23" s="252" t="s">
        <v>397</v>
      </c>
      <c r="C23" s="253" t="s">
        <v>398</v>
      </c>
      <c r="D23" s="254" t="s">
        <v>389</v>
      </c>
      <c r="E23" s="254"/>
      <c r="F23" s="255" t="s">
        <v>399</v>
      </c>
    </row>
    <row r="24" spans="1:6" ht="42" customHeight="1" x14ac:dyDescent="0.25">
      <c r="A24" s="246" t="s">
        <v>400</v>
      </c>
      <c r="B24" s="247" t="s">
        <v>401</v>
      </c>
      <c r="C24" s="248" t="s">
        <v>402</v>
      </c>
      <c r="D24" s="249" t="s">
        <v>403</v>
      </c>
      <c r="E24" s="249"/>
      <c r="F24" s="250" t="s">
        <v>404</v>
      </c>
    </row>
    <row r="25" spans="1:6" ht="42" customHeight="1" x14ac:dyDescent="0.25">
      <c r="A25" s="251" t="s">
        <v>405</v>
      </c>
      <c r="B25" s="252" t="s">
        <v>406</v>
      </c>
      <c r="C25" s="253" t="s">
        <v>393</v>
      </c>
      <c r="D25" s="254" t="s">
        <v>384</v>
      </c>
      <c r="E25" s="254"/>
      <c r="F25" s="255" t="s">
        <v>407</v>
      </c>
    </row>
  </sheetData>
  <mergeCells count="15">
    <mergeCell ref="D23:E23"/>
    <mergeCell ref="D24:E24"/>
    <mergeCell ref="D25:E25"/>
    <mergeCell ref="D20:E20"/>
    <mergeCell ref="D21:E21"/>
    <mergeCell ref="D22:E22"/>
    <mergeCell ref="A14:C14"/>
    <mergeCell ref="A15:C15"/>
    <mergeCell ref="A18:F18"/>
    <mergeCell ref="D19:E19"/>
    <mergeCell ref="A1:F1"/>
    <mergeCell ref="A2:F2"/>
    <mergeCell ref="A10:F10"/>
    <mergeCell ref="A12:C12"/>
    <mergeCell ref="A13:C1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49"/>
  <sheetViews>
    <sheetView showGridLines="0" tabSelected="1" zoomScaleNormal="100" workbookViewId="0">
      <selection activeCell="M11" sqref="M11"/>
    </sheetView>
  </sheetViews>
  <sheetFormatPr baseColWidth="10" defaultColWidth="8.7109375" defaultRowHeight="15" x14ac:dyDescent="0.25"/>
  <cols>
    <col min="1" max="1" width="5" customWidth="1"/>
    <col min="2" max="3" width="9" customWidth="1"/>
    <col min="4" max="4" width="50" customWidth="1"/>
    <col min="5" max="5" width="11" customWidth="1"/>
    <col min="6" max="6" width="7" customWidth="1"/>
    <col min="7" max="7" width="11" customWidth="1"/>
    <col min="8" max="8" width="8" customWidth="1"/>
    <col min="9" max="27" width="9" customWidth="1"/>
  </cols>
  <sheetData>
    <row r="1" spans="1:27" ht="33.75" customHeight="1" x14ac:dyDescent="0.25">
      <c r="A1" s="216" t="s">
        <v>408</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row>
    <row r="2" spans="1:27" ht="18" customHeight="1" thickBot="1" x14ac:dyDescent="0.3">
      <c r="A2" s="214" t="s">
        <v>409</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row>
    <row r="3" spans="1:27" ht="19.5" customHeight="1" thickBot="1" x14ac:dyDescent="0.3">
      <c r="I3" s="217" t="s">
        <v>410</v>
      </c>
      <c r="J3" s="257"/>
      <c r="K3" s="258"/>
      <c r="L3" s="218" t="s">
        <v>411</v>
      </c>
      <c r="M3" s="256"/>
      <c r="N3" s="259"/>
      <c r="O3" s="217" t="s">
        <v>412</v>
      </c>
      <c r="P3" s="257"/>
      <c r="Q3" s="258"/>
      <c r="R3" s="218" t="s">
        <v>413</v>
      </c>
      <c r="S3" s="256"/>
      <c r="T3" s="259"/>
      <c r="U3" s="217" t="s">
        <v>414</v>
      </c>
      <c r="V3" s="257"/>
      <c r="W3" s="258"/>
      <c r="X3" s="218" t="s">
        <v>415</v>
      </c>
      <c r="Y3" s="256"/>
      <c r="Z3" s="256"/>
      <c r="AA3" s="256"/>
    </row>
    <row r="4" spans="1:27" ht="31.5" customHeight="1" thickBot="1" x14ac:dyDescent="0.3">
      <c r="A4" s="64" t="s">
        <v>13</v>
      </c>
      <c r="B4" s="64" t="s">
        <v>416</v>
      </c>
      <c r="C4" s="64" t="s">
        <v>286</v>
      </c>
      <c r="D4" s="64" t="s">
        <v>417</v>
      </c>
      <c r="E4" s="64" t="s">
        <v>418</v>
      </c>
      <c r="F4" s="64" t="s">
        <v>274</v>
      </c>
      <c r="G4" s="64" t="s">
        <v>311</v>
      </c>
      <c r="H4" s="64" t="s">
        <v>314</v>
      </c>
      <c r="I4" s="139" t="s">
        <v>419</v>
      </c>
      <c r="J4" s="139" t="s">
        <v>420</v>
      </c>
      <c r="K4" s="139" t="s">
        <v>421</v>
      </c>
      <c r="L4" s="140" t="s">
        <v>422</v>
      </c>
      <c r="M4" s="140" t="s">
        <v>423</v>
      </c>
      <c r="N4" s="140" t="s">
        <v>424</v>
      </c>
      <c r="O4" s="139" t="s">
        <v>425</v>
      </c>
      <c r="P4" s="139" t="s">
        <v>426</v>
      </c>
      <c r="Q4" s="139" t="s">
        <v>427</v>
      </c>
      <c r="R4" s="140" t="s">
        <v>428</v>
      </c>
      <c r="S4" s="140" t="s">
        <v>429</v>
      </c>
      <c r="T4" s="140" t="s">
        <v>430</v>
      </c>
      <c r="U4" s="139" t="s">
        <v>431</v>
      </c>
      <c r="V4" s="139" t="s">
        <v>432</v>
      </c>
      <c r="W4" s="139" t="s">
        <v>433</v>
      </c>
      <c r="X4" s="140" t="s">
        <v>434</v>
      </c>
      <c r="Y4" s="139" t="s">
        <v>435</v>
      </c>
      <c r="Z4" s="140" t="s">
        <v>436</v>
      </c>
      <c r="AA4" s="139" t="s">
        <v>437</v>
      </c>
    </row>
    <row r="5" spans="1:27" ht="24" customHeight="1" x14ac:dyDescent="0.25">
      <c r="A5" s="219" t="s">
        <v>438</v>
      </c>
      <c r="B5" s="219"/>
      <c r="C5" s="219"/>
      <c r="D5" s="219"/>
      <c r="E5" s="219"/>
      <c r="F5" s="219"/>
      <c r="G5" s="219"/>
      <c r="H5" s="219"/>
      <c r="I5" s="141"/>
      <c r="J5" s="141"/>
      <c r="K5" s="141"/>
      <c r="L5" s="141"/>
      <c r="M5" s="141"/>
      <c r="N5" s="141"/>
      <c r="O5" s="141"/>
      <c r="P5" s="141"/>
      <c r="Q5" s="141"/>
      <c r="R5" s="141"/>
      <c r="S5" s="141"/>
      <c r="T5" s="141"/>
      <c r="U5" s="141"/>
      <c r="V5" s="141"/>
      <c r="W5" s="141"/>
      <c r="X5" s="141"/>
      <c r="Y5" s="141"/>
      <c r="Z5" s="141"/>
      <c r="AA5" s="141"/>
    </row>
    <row r="6" spans="1:27" ht="19.5" customHeight="1" x14ac:dyDescent="0.25">
      <c r="A6" s="220" t="s">
        <v>439</v>
      </c>
      <c r="B6" s="220"/>
      <c r="C6" s="220"/>
      <c r="D6" s="220"/>
      <c r="E6" s="220"/>
      <c r="F6" s="220"/>
      <c r="G6" s="220"/>
      <c r="H6" s="220"/>
      <c r="I6" s="142"/>
      <c r="J6" s="142"/>
      <c r="K6" s="142"/>
      <c r="L6" s="142"/>
      <c r="M6" s="142"/>
      <c r="N6" s="142"/>
      <c r="O6" s="142"/>
      <c r="P6" s="142"/>
      <c r="Q6" s="142"/>
      <c r="R6" s="142"/>
      <c r="S6" s="142"/>
      <c r="T6" s="142"/>
      <c r="U6" s="142"/>
      <c r="V6" s="142"/>
      <c r="W6" s="142"/>
      <c r="X6" s="142"/>
      <c r="Y6" s="142"/>
      <c r="Z6" s="142"/>
      <c r="AA6" s="142"/>
    </row>
    <row r="7" spans="1:27" ht="24" customHeight="1" x14ac:dyDescent="0.25">
      <c r="A7" s="143">
        <v>1</v>
      </c>
      <c r="B7" s="144" t="s">
        <v>308</v>
      </c>
      <c r="C7" s="64" t="s">
        <v>315</v>
      </c>
      <c r="D7" s="145" t="s">
        <v>316</v>
      </c>
      <c r="E7" s="146" t="s">
        <v>133</v>
      </c>
      <c r="F7" s="146">
        <v>1</v>
      </c>
      <c r="G7" s="98" t="s">
        <v>440</v>
      </c>
      <c r="H7" s="147" t="s">
        <v>314</v>
      </c>
      <c r="I7" s="148" t="s">
        <v>441</v>
      </c>
      <c r="J7" s="148" t="s">
        <v>441</v>
      </c>
      <c r="K7" s="148" t="s">
        <v>441</v>
      </c>
      <c r="L7" s="149"/>
      <c r="M7" s="149"/>
      <c r="N7" s="149"/>
      <c r="O7" s="149"/>
      <c r="P7" s="149"/>
      <c r="Q7" s="149"/>
      <c r="R7" s="149"/>
      <c r="S7" s="149"/>
      <c r="T7" s="149"/>
      <c r="U7" s="149"/>
      <c r="V7" s="149"/>
      <c r="W7" s="149"/>
      <c r="X7" s="149"/>
      <c r="Y7" s="149"/>
      <c r="Z7" s="149"/>
      <c r="AA7" s="149"/>
    </row>
    <row r="8" spans="1:27" ht="19.5" customHeight="1" x14ac:dyDescent="0.25">
      <c r="A8" s="143">
        <v>2</v>
      </c>
      <c r="B8" s="150" t="s">
        <v>442</v>
      </c>
      <c r="C8" s="151" t="s">
        <v>443</v>
      </c>
      <c r="D8" s="152" t="s">
        <v>444</v>
      </c>
      <c r="E8" s="146" t="s">
        <v>6</v>
      </c>
      <c r="F8" s="146">
        <v>3</v>
      </c>
      <c r="G8" s="98" t="s">
        <v>440</v>
      </c>
      <c r="H8" s="147" t="s">
        <v>314</v>
      </c>
      <c r="I8" s="153" t="s">
        <v>445</v>
      </c>
      <c r="J8" s="154"/>
      <c r="K8" s="154"/>
      <c r="L8" s="154"/>
      <c r="M8" s="154"/>
      <c r="N8" s="154"/>
      <c r="O8" s="154"/>
      <c r="P8" s="154"/>
      <c r="Q8" s="154"/>
      <c r="R8" s="154"/>
      <c r="S8" s="154"/>
      <c r="T8" s="154"/>
      <c r="U8" s="154"/>
      <c r="V8" s="154"/>
      <c r="W8" s="154"/>
      <c r="X8" s="154"/>
      <c r="Y8" s="154"/>
      <c r="Z8" s="154"/>
      <c r="AA8" s="154"/>
    </row>
    <row r="9" spans="1:27" ht="19.5" customHeight="1" x14ac:dyDescent="0.25">
      <c r="A9" s="143">
        <v>3</v>
      </c>
      <c r="B9" s="98" t="s">
        <v>446</v>
      </c>
      <c r="C9" s="138" t="s">
        <v>447</v>
      </c>
      <c r="D9" s="155" t="s">
        <v>448</v>
      </c>
      <c r="E9" s="146" t="s">
        <v>6</v>
      </c>
      <c r="F9" s="146">
        <v>1</v>
      </c>
      <c r="G9" s="98" t="s">
        <v>440</v>
      </c>
      <c r="H9" s="147"/>
      <c r="I9" s="153" t="s">
        <v>445</v>
      </c>
      <c r="J9" s="149"/>
      <c r="K9" s="149"/>
      <c r="L9" s="149"/>
      <c r="M9" s="149"/>
      <c r="N9" s="149"/>
      <c r="O9" s="149"/>
      <c r="P9" s="149"/>
      <c r="Q9" s="149"/>
      <c r="R9" s="149"/>
      <c r="S9" s="149"/>
      <c r="T9" s="149"/>
      <c r="U9" s="149"/>
      <c r="V9" s="149"/>
      <c r="W9" s="149"/>
      <c r="X9" s="149"/>
      <c r="Y9" s="149"/>
      <c r="Z9" s="149"/>
      <c r="AA9" s="149"/>
    </row>
    <row r="10" spans="1:27" ht="19.5" customHeight="1" x14ac:dyDescent="0.25">
      <c r="A10" s="143">
        <v>4</v>
      </c>
      <c r="B10" s="98" t="s">
        <v>446</v>
      </c>
      <c r="C10" s="138" t="s">
        <v>449</v>
      </c>
      <c r="D10" s="155" t="s">
        <v>450</v>
      </c>
      <c r="E10" s="146" t="s">
        <v>6</v>
      </c>
      <c r="F10" s="146">
        <v>1</v>
      </c>
      <c r="G10" s="98" t="s">
        <v>440</v>
      </c>
      <c r="H10" s="147"/>
      <c r="I10" s="153" t="s">
        <v>445</v>
      </c>
      <c r="J10" s="154"/>
      <c r="K10" s="154"/>
      <c r="L10" s="154"/>
      <c r="M10" s="154"/>
      <c r="N10" s="154"/>
      <c r="O10" s="154"/>
      <c r="P10" s="154"/>
      <c r="Q10" s="154"/>
      <c r="R10" s="154"/>
      <c r="S10" s="154"/>
      <c r="T10" s="154"/>
      <c r="U10" s="154"/>
      <c r="V10" s="154"/>
      <c r="W10" s="154"/>
      <c r="X10" s="154"/>
      <c r="Y10" s="154"/>
      <c r="Z10" s="154"/>
      <c r="AA10" s="154"/>
    </row>
    <row r="11" spans="1:27" ht="19.5" customHeight="1" x14ac:dyDescent="0.25">
      <c r="A11" s="143">
        <v>5</v>
      </c>
      <c r="B11" s="98" t="s">
        <v>446</v>
      </c>
      <c r="C11" s="138" t="s">
        <v>451</v>
      </c>
      <c r="D11" s="155" t="s">
        <v>452</v>
      </c>
      <c r="E11" s="146" t="s">
        <v>6</v>
      </c>
      <c r="F11" s="146">
        <v>1</v>
      </c>
      <c r="G11" s="98" t="s">
        <v>440</v>
      </c>
      <c r="H11" s="147"/>
      <c r="I11" s="153" t="s">
        <v>445</v>
      </c>
      <c r="J11" s="149"/>
      <c r="K11" s="149"/>
      <c r="L11" s="149"/>
      <c r="M11" s="149"/>
      <c r="N11" s="149"/>
      <c r="O11" s="149"/>
      <c r="P11" s="149"/>
      <c r="Q11" s="149"/>
      <c r="R11" s="149"/>
      <c r="S11" s="149"/>
      <c r="T11" s="149"/>
      <c r="U11" s="149"/>
      <c r="V11" s="149"/>
      <c r="W11" s="149"/>
      <c r="X11" s="149"/>
      <c r="Y11" s="149"/>
      <c r="Z11" s="149"/>
      <c r="AA11" s="149"/>
    </row>
    <row r="12" spans="1:27" ht="19.5" customHeight="1" x14ac:dyDescent="0.25">
      <c r="A12" s="143">
        <v>6</v>
      </c>
      <c r="B12" s="150" t="s">
        <v>442</v>
      </c>
      <c r="C12" s="151" t="s">
        <v>453</v>
      </c>
      <c r="D12" s="152" t="s">
        <v>454</v>
      </c>
      <c r="E12" s="146" t="s">
        <v>3</v>
      </c>
      <c r="F12" s="146">
        <v>1</v>
      </c>
      <c r="G12" s="98" t="s">
        <v>440</v>
      </c>
      <c r="H12" s="147"/>
      <c r="I12" s="153" t="s">
        <v>445</v>
      </c>
      <c r="J12" s="154"/>
      <c r="K12" s="154"/>
      <c r="L12" s="154"/>
      <c r="M12" s="154"/>
      <c r="N12" s="154"/>
      <c r="O12" s="154"/>
      <c r="P12" s="154"/>
      <c r="Q12" s="154"/>
      <c r="R12" s="154"/>
      <c r="S12" s="154"/>
      <c r="T12" s="154"/>
      <c r="U12" s="154"/>
      <c r="V12" s="154"/>
      <c r="W12" s="154"/>
      <c r="X12" s="154"/>
      <c r="Y12" s="154"/>
      <c r="Z12" s="154"/>
      <c r="AA12" s="154"/>
    </row>
    <row r="13" spans="1:27" ht="19.5" customHeight="1" x14ac:dyDescent="0.25">
      <c r="A13" s="143">
        <v>7</v>
      </c>
      <c r="B13" s="98" t="s">
        <v>446</v>
      </c>
      <c r="C13" s="138" t="s">
        <v>455</v>
      </c>
      <c r="D13" s="155" t="s">
        <v>456</v>
      </c>
      <c r="E13" s="146" t="s">
        <v>3</v>
      </c>
      <c r="F13" s="146">
        <v>1</v>
      </c>
      <c r="G13" s="98" t="s">
        <v>440</v>
      </c>
      <c r="H13" s="147"/>
      <c r="I13" s="153" t="s">
        <v>445</v>
      </c>
      <c r="J13" s="149"/>
      <c r="K13" s="149"/>
      <c r="L13" s="149"/>
      <c r="M13" s="149"/>
      <c r="N13" s="149"/>
      <c r="O13" s="149"/>
      <c r="P13" s="149"/>
      <c r="Q13" s="149"/>
      <c r="R13" s="149"/>
      <c r="S13" s="149"/>
      <c r="T13" s="149"/>
      <c r="U13" s="149"/>
      <c r="V13" s="149"/>
      <c r="W13" s="149"/>
      <c r="X13" s="149"/>
      <c r="Y13" s="149"/>
      <c r="Z13" s="149"/>
      <c r="AA13" s="149"/>
    </row>
    <row r="14" spans="1:27" ht="19.5" customHeight="1" x14ac:dyDescent="0.25">
      <c r="A14" s="143">
        <v>8</v>
      </c>
      <c r="B14" s="150" t="s">
        <v>442</v>
      </c>
      <c r="C14" s="151" t="s">
        <v>457</v>
      </c>
      <c r="D14" s="152" t="s">
        <v>458</v>
      </c>
      <c r="E14" s="146" t="s">
        <v>6</v>
      </c>
      <c r="F14" s="146">
        <v>2</v>
      </c>
      <c r="G14" s="98" t="s">
        <v>440</v>
      </c>
      <c r="H14" s="147"/>
      <c r="I14" s="154"/>
      <c r="J14" s="153" t="s">
        <v>445</v>
      </c>
      <c r="K14" s="154"/>
      <c r="L14" s="154"/>
      <c r="M14" s="154"/>
      <c r="N14" s="154"/>
      <c r="O14" s="154"/>
      <c r="P14" s="154"/>
      <c r="Q14" s="154"/>
      <c r="R14" s="154"/>
      <c r="S14" s="154"/>
      <c r="T14" s="154"/>
      <c r="U14" s="154"/>
      <c r="V14" s="154"/>
      <c r="W14" s="154"/>
      <c r="X14" s="154"/>
      <c r="Y14" s="154"/>
      <c r="Z14" s="154"/>
      <c r="AA14" s="154"/>
    </row>
    <row r="15" spans="1:27" ht="19.5" customHeight="1" x14ac:dyDescent="0.25">
      <c r="A15" s="143">
        <v>9</v>
      </c>
      <c r="B15" s="98" t="s">
        <v>446</v>
      </c>
      <c r="C15" s="138" t="s">
        <v>459</v>
      </c>
      <c r="D15" s="155" t="s">
        <v>460</v>
      </c>
      <c r="E15" s="146" t="s">
        <v>6</v>
      </c>
      <c r="F15" s="146">
        <v>1</v>
      </c>
      <c r="G15" s="98" t="s">
        <v>440</v>
      </c>
      <c r="H15" s="147"/>
      <c r="I15" s="149"/>
      <c r="J15" s="153" t="s">
        <v>445</v>
      </c>
      <c r="K15" s="149"/>
      <c r="L15" s="149"/>
      <c r="M15" s="149"/>
      <c r="N15" s="149"/>
      <c r="O15" s="149"/>
      <c r="P15" s="149"/>
      <c r="Q15" s="149"/>
      <c r="R15" s="149"/>
      <c r="S15" s="149"/>
      <c r="T15" s="149"/>
      <c r="U15" s="149"/>
      <c r="V15" s="149"/>
      <c r="W15" s="149"/>
      <c r="X15" s="149"/>
      <c r="Y15" s="149"/>
      <c r="Z15" s="149"/>
      <c r="AA15" s="149"/>
    </row>
    <row r="16" spans="1:27" ht="19.5" customHeight="1" x14ac:dyDescent="0.25">
      <c r="A16" s="143">
        <v>10</v>
      </c>
      <c r="B16" s="98" t="s">
        <v>446</v>
      </c>
      <c r="C16" s="138" t="s">
        <v>461</v>
      </c>
      <c r="D16" s="155" t="s">
        <v>462</v>
      </c>
      <c r="E16" s="146" t="s">
        <v>6</v>
      </c>
      <c r="F16" s="146">
        <v>1</v>
      </c>
      <c r="G16" s="98" t="s">
        <v>440</v>
      </c>
      <c r="H16" s="147"/>
      <c r="I16" s="154"/>
      <c r="J16" s="153" t="s">
        <v>445</v>
      </c>
      <c r="K16" s="154"/>
      <c r="L16" s="154"/>
      <c r="M16" s="154"/>
      <c r="N16" s="154"/>
      <c r="O16" s="154"/>
      <c r="P16" s="154"/>
      <c r="Q16" s="154"/>
      <c r="R16" s="154"/>
      <c r="S16" s="154"/>
      <c r="T16" s="154"/>
      <c r="U16" s="154"/>
      <c r="V16" s="154"/>
      <c r="W16" s="154"/>
      <c r="X16" s="154"/>
      <c r="Y16" s="154"/>
      <c r="Z16" s="154"/>
      <c r="AA16" s="154"/>
    </row>
    <row r="17" spans="1:27" ht="19.5" customHeight="1" x14ac:dyDescent="0.25">
      <c r="A17" s="143">
        <v>11</v>
      </c>
      <c r="B17" s="150" t="s">
        <v>442</v>
      </c>
      <c r="C17" s="151" t="s">
        <v>463</v>
      </c>
      <c r="D17" s="152" t="s">
        <v>464</v>
      </c>
      <c r="E17" s="146" t="s">
        <v>6</v>
      </c>
      <c r="F17" s="146">
        <v>2</v>
      </c>
      <c r="G17" s="98" t="s">
        <v>440</v>
      </c>
      <c r="H17" s="147"/>
      <c r="I17" s="149"/>
      <c r="J17" s="153" t="s">
        <v>445</v>
      </c>
      <c r="K17" s="149"/>
      <c r="L17" s="149"/>
      <c r="M17" s="149"/>
      <c r="N17" s="149"/>
      <c r="O17" s="149"/>
      <c r="P17" s="149"/>
      <c r="Q17" s="149"/>
      <c r="R17" s="149"/>
      <c r="S17" s="149"/>
      <c r="T17" s="149"/>
      <c r="U17" s="149"/>
      <c r="V17" s="149"/>
      <c r="W17" s="149"/>
      <c r="X17" s="149"/>
      <c r="Y17" s="149"/>
      <c r="Z17" s="149"/>
      <c r="AA17" s="149"/>
    </row>
    <row r="18" spans="1:27" ht="19.5" customHeight="1" x14ac:dyDescent="0.25">
      <c r="A18" s="143">
        <v>12</v>
      </c>
      <c r="B18" s="98" t="s">
        <v>446</v>
      </c>
      <c r="C18" s="138" t="s">
        <v>465</v>
      </c>
      <c r="D18" s="155" t="s">
        <v>466</v>
      </c>
      <c r="E18" s="146" t="s">
        <v>6</v>
      </c>
      <c r="F18" s="146">
        <v>1</v>
      </c>
      <c r="G18" s="98" t="s">
        <v>440</v>
      </c>
      <c r="H18" s="147"/>
      <c r="I18" s="154"/>
      <c r="J18" s="153" t="s">
        <v>445</v>
      </c>
      <c r="K18" s="154"/>
      <c r="L18" s="154"/>
      <c r="M18" s="154"/>
      <c r="N18" s="154"/>
      <c r="O18" s="154"/>
      <c r="P18" s="154"/>
      <c r="Q18" s="154"/>
      <c r="R18" s="154"/>
      <c r="S18" s="154"/>
      <c r="T18" s="154"/>
      <c r="U18" s="154"/>
      <c r="V18" s="154"/>
      <c r="W18" s="154"/>
      <c r="X18" s="154"/>
      <c r="Y18" s="154"/>
      <c r="Z18" s="154"/>
      <c r="AA18" s="154"/>
    </row>
    <row r="19" spans="1:27" ht="19.5" customHeight="1" x14ac:dyDescent="0.25">
      <c r="A19" s="143">
        <v>13</v>
      </c>
      <c r="B19" s="98" t="s">
        <v>446</v>
      </c>
      <c r="C19" s="138" t="s">
        <v>467</v>
      </c>
      <c r="D19" s="155" t="s">
        <v>468</v>
      </c>
      <c r="E19" s="146" t="s">
        <v>6</v>
      </c>
      <c r="F19" s="146">
        <v>1</v>
      </c>
      <c r="G19" s="98" t="s">
        <v>440</v>
      </c>
      <c r="H19" s="147"/>
      <c r="I19" s="149"/>
      <c r="J19" s="153" t="s">
        <v>445</v>
      </c>
      <c r="K19" s="149"/>
      <c r="L19" s="149"/>
      <c r="M19" s="149"/>
      <c r="N19" s="149"/>
      <c r="O19" s="149"/>
      <c r="P19" s="149"/>
      <c r="Q19" s="149"/>
      <c r="R19" s="149"/>
      <c r="S19" s="149"/>
      <c r="T19" s="149"/>
      <c r="U19" s="149"/>
      <c r="V19" s="149"/>
      <c r="W19" s="149"/>
      <c r="X19" s="149"/>
      <c r="Y19" s="149"/>
      <c r="Z19" s="149"/>
      <c r="AA19" s="149"/>
    </row>
    <row r="20" spans="1:27" ht="19.5" customHeight="1" x14ac:dyDescent="0.25">
      <c r="A20" s="143">
        <v>14</v>
      </c>
      <c r="B20" s="150" t="s">
        <v>442</v>
      </c>
      <c r="C20" s="151" t="s">
        <v>469</v>
      </c>
      <c r="D20" s="152" t="s">
        <v>470</v>
      </c>
      <c r="E20" s="146" t="s">
        <v>6</v>
      </c>
      <c r="F20" s="146">
        <v>2</v>
      </c>
      <c r="G20" s="98" t="s">
        <v>440</v>
      </c>
      <c r="H20" s="147"/>
      <c r="I20" s="154"/>
      <c r="J20" s="154"/>
      <c r="K20" s="153" t="s">
        <v>445</v>
      </c>
      <c r="L20" s="154"/>
      <c r="M20" s="154"/>
      <c r="N20" s="154"/>
      <c r="O20" s="154"/>
      <c r="P20" s="154"/>
      <c r="Q20" s="154"/>
      <c r="R20" s="154"/>
      <c r="S20" s="154"/>
      <c r="T20" s="154"/>
      <c r="U20" s="154"/>
      <c r="V20" s="154"/>
      <c r="W20" s="154"/>
      <c r="X20" s="154"/>
      <c r="Y20" s="154"/>
      <c r="Z20" s="154"/>
      <c r="AA20" s="154"/>
    </row>
    <row r="21" spans="1:27" ht="19.5" customHeight="1" x14ac:dyDescent="0.25">
      <c r="A21" s="143">
        <v>15</v>
      </c>
      <c r="B21" s="98" t="s">
        <v>446</v>
      </c>
      <c r="C21" s="138" t="s">
        <v>471</v>
      </c>
      <c r="D21" s="155" t="s">
        <v>472</v>
      </c>
      <c r="E21" s="146" t="s">
        <v>6</v>
      </c>
      <c r="F21" s="146">
        <v>1</v>
      </c>
      <c r="G21" s="98" t="s">
        <v>440</v>
      </c>
      <c r="H21" s="147"/>
      <c r="I21" s="149"/>
      <c r="J21" s="149"/>
      <c r="K21" s="153" t="s">
        <v>445</v>
      </c>
      <c r="L21" s="149"/>
      <c r="M21" s="149"/>
      <c r="N21" s="149"/>
      <c r="O21" s="149"/>
      <c r="P21" s="149"/>
      <c r="Q21" s="149"/>
      <c r="R21" s="149"/>
      <c r="S21" s="149"/>
      <c r="T21" s="149"/>
      <c r="U21" s="149"/>
      <c r="V21" s="149"/>
      <c r="W21" s="149"/>
      <c r="X21" s="149"/>
      <c r="Y21" s="149"/>
      <c r="Z21" s="149"/>
      <c r="AA21" s="149"/>
    </row>
    <row r="22" spans="1:27" ht="19.5" customHeight="1" x14ac:dyDescent="0.25">
      <c r="A22" s="143">
        <v>16</v>
      </c>
      <c r="B22" s="150" t="s">
        <v>442</v>
      </c>
      <c r="C22" s="151" t="s">
        <v>473</v>
      </c>
      <c r="D22" s="152" t="s">
        <v>474</v>
      </c>
      <c r="E22" s="146" t="s">
        <v>3</v>
      </c>
      <c r="F22" s="146">
        <v>2</v>
      </c>
      <c r="G22" s="98" t="s">
        <v>440</v>
      </c>
      <c r="H22" s="147"/>
      <c r="I22" s="154"/>
      <c r="J22" s="154"/>
      <c r="K22" s="153" t="s">
        <v>445</v>
      </c>
      <c r="L22" s="154"/>
      <c r="M22" s="154"/>
      <c r="N22" s="154"/>
      <c r="O22" s="154"/>
      <c r="P22" s="154"/>
      <c r="Q22" s="154"/>
      <c r="R22" s="154"/>
      <c r="S22" s="154"/>
      <c r="T22" s="154"/>
      <c r="U22" s="154"/>
      <c r="V22" s="154"/>
      <c r="W22" s="154"/>
      <c r="X22" s="154"/>
      <c r="Y22" s="154"/>
      <c r="Z22" s="154"/>
      <c r="AA22" s="154"/>
    </row>
    <row r="23" spans="1:27" ht="19.5" customHeight="1" x14ac:dyDescent="0.25">
      <c r="A23" s="143">
        <v>17</v>
      </c>
      <c r="B23" s="98" t="s">
        <v>446</v>
      </c>
      <c r="C23" s="138" t="s">
        <v>475</v>
      </c>
      <c r="D23" s="155" t="s">
        <v>472</v>
      </c>
      <c r="E23" s="146" t="s">
        <v>6</v>
      </c>
      <c r="F23" s="146">
        <v>1</v>
      </c>
      <c r="G23" s="98" t="s">
        <v>440</v>
      </c>
      <c r="H23" s="147"/>
      <c r="I23" s="149"/>
      <c r="J23" s="149"/>
      <c r="K23" s="153" t="s">
        <v>445</v>
      </c>
      <c r="L23" s="149"/>
      <c r="M23" s="149"/>
      <c r="N23" s="149"/>
      <c r="O23" s="149"/>
      <c r="P23" s="149"/>
      <c r="Q23" s="149"/>
      <c r="R23" s="149"/>
      <c r="S23" s="149"/>
      <c r="T23" s="149"/>
      <c r="U23" s="149"/>
      <c r="V23" s="149"/>
      <c r="W23" s="149"/>
      <c r="X23" s="149"/>
      <c r="Y23" s="149"/>
      <c r="Z23" s="149"/>
      <c r="AA23" s="149"/>
    </row>
    <row r="24" spans="1:27" ht="19.5" customHeight="1" x14ac:dyDescent="0.25">
      <c r="A24" s="143">
        <v>18</v>
      </c>
      <c r="B24" s="98" t="s">
        <v>446</v>
      </c>
      <c r="C24" s="138" t="s">
        <v>476</v>
      </c>
      <c r="D24" s="155" t="s">
        <v>477</v>
      </c>
      <c r="E24" s="146" t="s">
        <v>3</v>
      </c>
      <c r="F24" s="146">
        <v>1</v>
      </c>
      <c r="G24" s="98" t="s">
        <v>440</v>
      </c>
      <c r="H24" s="147"/>
      <c r="I24" s="154"/>
      <c r="J24" s="154"/>
      <c r="K24" s="153" t="s">
        <v>445</v>
      </c>
      <c r="L24" s="154"/>
      <c r="M24" s="154"/>
      <c r="N24" s="154"/>
      <c r="O24" s="154"/>
      <c r="P24" s="154"/>
      <c r="Q24" s="154"/>
      <c r="R24" s="154"/>
      <c r="S24" s="154"/>
      <c r="T24" s="154"/>
      <c r="U24" s="154"/>
      <c r="V24" s="154"/>
      <c r="W24" s="154"/>
      <c r="X24" s="154"/>
      <c r="Y24" s="154"/>
      <c r="Z24" s="154"/>
      <c r="AA24" s="154"/>
    </row>
    <row r="25" spans="1:27" ht="19.5" customHeight="1" x14ac:dyDescent="0.25">
      <c r="A25" s="143">
        <v>19</v>
      </c>
      <c r="B25" s="150" t="s">
        <v>442</v>
      </c>
      <c r="C25" s="151" t="s">
        <v>478</v>
      </c>
      <c r="D25" s="152" t="s">
        <v>479</v>
      </c>
      <c r="E25" s="146" t="s">
        <v>6</v>
      </c>
      <c r="F25" s="146">
        <v>2</v>
      </c>
      <c r="G25" s="98" t="s">
        <v>440</v>
      </c>
      <c r="H25" s="147"/>
      <c r="I25" s="149"/>
      <c r="J25" s="149"/>
      <c r="K25" s="153" t="s">
        <v>445</v>
      </c>
      <c r="L25" s="149"/>
      <c r="M25" s="149"/>
      <c r="N25" s="149"/>
      <c r="O25" s="149"/>
      <c r="P25" s="149"/>
      <c r="Q25" s="149"/>
      <c r="R25" s="149"/>
      <c r="S25" s="149"/>
      <c r="T25" s="149"/>
      <c r="U25" s="149"/>
      <c r="V25" s="149"/>
      <c r="W25" s="149"/>
      <c r="X25" s="149"/>
      <c r="Y25" s="149"/>
      <c r="Z25" s="149"/>
      <c r="AA25" s="149"/>
    </row>
    <row r="26" spans="1:27" ht="19.5" customHeight="1" x14ac:dyDescent="0.25">
      <c r="A26" s="143">
        <v>20</v>
      </c>
      <c r="B26" s="98" t="s">
        <v>446</v>
      </c>
      <c r="C26" s="138" t="s">
        <v>480</v>
      </c>
      <c r="D26" s="155" t="s">
        <v>481</v>
      </c>
      <c r="E26" s="146" t="s">
        <v>6</v>
      </c>
      <c r="F26" s="146">
        <v>1</v>
      </c>
      <c r="G26" s="98" t="s">
        <v>440</v>
      </c>
      <c r="H26" s="147"/>
      <c r="I26" s="154"/>
      <c r="J26" s="154"/>
      <c r="K26" s="153" t="s">
        <v>445</v>
      </c>
      <c r="L26" s="154"/>
      <c r="M26" s="154"/>
      <c r="N26" s="154"/>
      <c r="O26" s="154"/>
      <c r="P26" s="154"/>
      <c r="Q26" s="154"/>
      <c r="R26" s="154"/>
      <c r="S26" s="154"/>
      <c r="T26" s="154"/>
      <c r="U26" s="154"/>
      <c r="V26" s="154"/>
      <c r="W26" s="154"/>
      <c r="X26" s="154"/>
      <c r="Y26" s="154"/>
      <c r="Z26" s="154"/>
      <c r="AA26" s="154"/>
    </row>
    <row r="27" spans="1:27" ht="19.5" customHeight="1" x14ac:dyDescent="0.25">
      <c r="A27" s="143">
        <v>21</v>
      </c>
      <c r="B27" s="98" t="s">
        <v>446</v>
      </c>
      <c r="C27" s="138" t="s">
        <v>482</v>
      </c>
      <c r="D27" s="155" t="s">
        <v>483</v>
      </c>
      <c r="E27" s="146" t="s">
        <v>6</v>
      </c>
      <c r="F27" s="146">
        <v>1</v>
      </c>
      <c r="G27" s="98" t="s">
        <v>440</v>
      </c>
      <c r="H27" s="147"/>
      <c r="I27" s="149"/>
      <c r="J27" s="149"/>
      <c r="K27" s="153" t="s">
        <v>445</v>
      </c>
      <c r="L27" s="149"/>
      <c r="M27" s="149"/>
      <c r="N27" s="149"/>
      <c r="O27" s="149"/>
      <c r="P27" s="149"/>
      <c r="Q27" s="149"/>
      <c r="R27" s="149"/>
      <c r="S27" s="149"/>
      <c r="T27" s="149"/>
      <c r="U27" s="149"/>
      <c r="V27" s="149"/>
      <c r="W27" s="149"/>
      <c r="X27" s="149"/>
      <c r="Y27" s="149"/>
      <c r="Z27" s="149"/>
      <c r="AA27" s="149"/>
    </row>
    <row r="28" spans="1:27" ht="19.5" customHeight="1" x14ac:dyDescent="0.25">
      <c r="A28" s="143">
        <v>22</v>
      </c>
      <c r="B28" s="156" t="s">
        <v>376</v>
      </c>
      <c r="C28" s="157" t="s">
        <v>484</v>
      </c>
      <c r="D28" s="158" t="s">
        <v>485</v>
      </c>
      <c r="E28" s="146" t="s">
        <v>133</v>
      </c>
      <c r="F28" s="146">
        <v>0.5</v>
      </c>
      <c r="G28" s="98" t="s">
        <v>440</v>
      </c>
      <c r="H28" s="147"/>
      <c r="I28" s="154"/>
      <c r="J28" s="154"/>
      <c r="K28" s="159" t="s">
        <v>144</v>
      </c>
      <c r="L28" s="154"/>
      <c r="M28" s="154"/>
      <c r="N28" s="154"/>
      <c r="O28" s="154"/>
      <c r="P28" s="154"/>
      <c r="Q28" s="154"/>
      <c r="R28" s="154"/>
      <c r="S28" s="154"/>
      <c r="T28" s="154"/>
      <c r="U28" s="154"/>
      <c r="V28" s="154"/>
      <c r="W28" s="154"/>
      <c r="X28" s="154"/>
      <c r="Y28" s="154"/>
      <c r="Z28" s="154"/>
      <c r="AA28" s="154"/>
    </row>
    <row r="29" spans="1:27" ht="19.5" customHeight="1" x14ac:dyDescent="0.25">
      <c r="A29" s="143">
        <v>23</v>
      </c>
      <c r="B29" s="156" t="s">
        <v>376</v>
      </c>
      <c r="C29" s="157" t="s">
        <v>486</v>
      </c>
      <c r="D29" s="158" t="s">
        <v>487</v>
      </c>
      <c r="E29" s="146" t="s">
        <v>133</v>
      </c>
      <c r="F29" s="146">
        <v>0.5</v>
      </c>
      <c r="G29" s="98" t="s">
        <v>440</v>
      </c>
      <c r="H29" s="147"/>
      <c r="I29" s="149"/>
      <c r="J29" s="149"/>
      <c r="K29" s="159" t="s">
        <v>144</v>
      </c>
      <c r="L29" s="149"/>
      <c r="M29" s="149"/>
      <c r="N29" s="149"/>
      <c r="O29" s="149"/>
      <c r="P29" s="149"/>
      <c r="Q29" s="149"/>
      <c r="R29" s="149"/>
      <c r="S29" s="149"/>
      <c r="T29" s="149"/>
      <c r="U29" s="149"/>
      <c r="V29" s="149"/>
      <c r="W29" s="149"/>
      <c r="X29" s="149"/>
      <c r="Y29" s="149"/>
      <c r="Z29" s="149"/>
      <c r="AA29" s="149"/>
    </row>
    <row r="30" spans="1:27" ht="19.5" customHeight="1" x14ac:dyDescent="0.25">
      <c r="A30" s="143">
        <v>24</v>
      </c>
      <c r="B30" s="156" t="s">
        <v>376</v>
      </c>
      <c r="C30" s="157" t="s">
        <v>488</v>
      </c>
      <c r="D30" s="158" t="s">
        <v>489</v>
      </c>
      <c r="E30" s="146" t="s">
        <v>133</v>
      </c>
      <c r="F30" s="146">
        <v>0.5</v>
      </c>
      <c r="G30" s="98" t="s">
        <v>440</v>
      </c>
      <c r="H30" s="147"/>
      <c r="I30" s="154"/>
      <c r="J30" s="154"/>
      <c r="K30" s="159" t="s">
        <v>144</v>
      </c>
      <c r="L30" s="154"/>
      <c r="M30" s="154"/>
      <c r="N30" s="154"/>
      <c r="O30" s="154"/>
      <c r="P30" s="154"/>
      <c r="Q30" s="154"/>
      <c r="R30" s="154"/>
      <c r="S30" s="154"/>
      <c r="T30" s="154"/>
      <c r="U30" s="154"/>
      <c r="V30" s="154"/>
      <c r="W30" s="154"/>
      <c r="X30" s="154"/>
      <c r="Y30" s="154"/>
      <c r="Z30" s="154"/>
      <c r="AA30" s="154"/>
    </row>
    <row r="32" spans="1:27" ht="24" customHeight="1" x14ac:dyDescent="0.25">
      <c r="A32" s="219" t="s">
        <v>490</v>
      </c>
      <c r="B32" s="219"/>
      <c r="C32" s="219"/>
      <c r="D32" s="219"/>
      <c r="E32" s="219"/>
      <c r="F32" s="219"/>
      <c r="G32" s="219"/>
      <c r="H32" s="219"/>
      <c r="I32" s="141"/>
      <c r="J32" s="141"/>
      <c r="K32" s="141"/>
      <c r="L32" s="141"/>
      <c r="M32" s="141"/>
      <c r="N32" s="141"/>
      <c r="O32" s="141"/>
      <c r="P32" s="141"/>
      <c r="Q32" s="141"/>
      <c r="R32" s="141"/>
      <c r="S32" s="141"/>
      <c r="T32" s="141"/>
      <c r="U32" s="141"/>
      <c r="V32" s="141"/>
      <c r="W32" s="141"/>
      <c r="X32" s="141"/>
      <c r="Y32" s="141"/>
      <c r="Z32" s="141"/>
      <c r="AA32" s="141"/>
    </row>
    <row r="33" spans="1:27" ht="19.5" customHeight="1" x14ac:dyDescent="0.25">
      <c r="A33" s="220" t="s">
        <v>491</v>
      </c>
      <c r="B33" s="220"/>
      <c r="C33" s="220"/>
      <c r="D33" s="220"/>
      <c r="E33" s="220"/>
      <c r="F33" s="220"/>
      <c r="G33" s="220"/>
      <c r="H33" s="220"/>
      <c r="I33" s="142"/>
      <c r="J33" s="142"/>
      <c r="K33" s="142"/>
      <c r="L33" s="142"/>
      <c r="M33" s="142"/>
      <c r="N33" s="142"/>
      <c r="O33" s="142"/>
      <c r="P33" s="142"/>
      <c r="Q33" s="142"/>
      <c r="R33" s="142"/>
      <c r="S33" s="142"/>
      <c r="T33" s="142"/>
      <c r="U33" s="142"/>
      <c r="V33" s="142"/>
      <c r="W33" s="142"/>
      <c r="X33" s="142"/>
      <c r="Y33" s="142"/>
      <c r="Z33" s="142"/>
      <c r="AA33" s="142"/>
    </row>
    <row r="34" spans="1:27" ht="24" customHeight="1" x14ac:dyDescent="0.25">
      <c r="A34" s="143">
        <v>25</v>
      </c>
      <c r="B34" s="144" t="s">
        <v>308</v>
      </c>
      <c r="C34" s="64" t="s">
        <v>322</v>
      </c>
      <c r="D34" s="145" t="s">
        <v>323</v>
      </c>
      <c r="E34" s="146" t="s">
        <v>133</v>
      </c>
      <c r="F34" s="146">
        <v>1</v>
      </c>
      <c r="G34" s="98" t="s">
        <v>492</v>
      </c>
      <c r="H34" s="147"/>
      <c r="I34" s="154"/>
      <c r="J34" s="154"/>
      <c r="K34" s="154"/>
      <c r="L34" s="148" t="s">
        <v>441</v>
      </c>
      <c r="M34" s="148" t="s">
        <v>441</v>
      </c>
      <c r="N34" s="148" t="s">
        <v>441</v>
      </c>
      <c r="O34" s="154"/>
      <c r="P34" s="154"/>
      <c r="Q34" s="154"/>
      <c r="R34" s="154"/>
      <c r="S34" s="154"/>
      <c r="T34" s="154"/>
      <c r="U34" s="154"/>
      <c r="V34" s="154"/>
      <c r="W34" s="154"/>
      <c r="X34" s="154"/>
      <c r="Y34" s="154"/>
      <c r="Z34" s="154"/>
      <c r="AA34" s="154"/>
    </row>
    <row r="35" spans="1:27" ht="19.5" customHeight="1" x14ac:dyDescent="0.25">
      <c r="A35" s="143">
        <v>26</v>
      </c>
      <c r="B35" s="150" t="s">
        <v>442</v>
      </c>
      <c r="C35" s="151" t="s">
        <v>493</v>
      </c>
      <c r="D35" s="152" t="s">
        <v>494</v>
      </c>
      <c r="E35" s="146" t="s">
        <v>3</v>
      </c>
      <c r="F35" s="146">
        <v>3</v>
      </c>
      <c r="G35" s="98" t="s">
        <v>492</v>
      </c>
      <c r="H35" s="147"/>
      <c r="I35" s="149"/>
      <c r="J35" s="149"/>
      <c r="K35" s="149"/>
      <c r="L35" s="160" t="s">
        <v>445</v>
      </c>
      <c r="M35" s="149"/>
      <c r="N35" s="149"/>
      <c r="O35" s="149"/>
      <c r="P35" s="149"/>
      <c r="Q35" s="149"/>
      <c r="R35" s="149"/>
      <c r="S35" s="149"/>
      <c r="T35" s="149"/>
      <c r="U35" s="149"/>
      <c r="V35" s="149"/>
      <c r="W35" s="149"/>
      <c r="X35" s="149"/>
      <c r="Y35" s="149"/>
      <c r="Z35" s="149"/>
      <c r="AA35" s="149"/>
    </row>
    <row r="36" spans="1:27" ht="19.5" customHeight="1" x14ac:dyDescent="0.25">
      <c r="A36" s="143">
        <v>27</v>
      </c>
      <c r="B36" s="98" t="s">
        <v>446</v>
      </c>
      <c r="C36" s="138" t="s">
        <v>495</v>
      </c>
      <c r="D36" s="155" t="s">
        <v>496</v>
      </c>
      <c r="E36" s="146" t="s">
        <v>3</v>
      </c>
      <c r="F36" s="146">
        <v>1</v>
      </c>
      <c r="G36" s="98" t="s">
        <v>492</v>
      </c>
      <c r="H36" s="147"/>
      <c r="I36" s="154"/>
      <c r="J36" s="154"/>
      <c r="K36" s="154"/>
      <c r="L36" s="160" t="s">
        <v>445</v>
      </c>
      <c r="M36" s="154"/>
      <c r="N36" s="154"/>
      <c r="O36" s="154"/>
      <c r="P36" s="154"/>
      <c r="Q36" s="154"/>
      <c r="R36" s="154"/>
      <c r="S36" s="154"/>
      <c r="T36" s="154"/>
      <c r="U36" s="154"/>
      <c r="V36" s="154"/>
      <c r="W36" s="154"/>
      <c r="X36" s="154"/>
      <c r="Y36" s="154"/>
      <c r="Z36" s="154"/>
      <c r="AA36" s="154"/>
    </row>
    <row r="37" spans="1:27" ht="19.5" customHeight="1" x14ac:dyDescent="0.25">
      <c r="A37" s="143">
        <v>28</v>
      </c>
      <c r="B37" s="98" t="s">
        <v>446</v>
      </c>
      <c r="C37" s="138" t="s">
        <v>497</v>
      </c>
      <c r="D37" s="155" t="s">
        <v>498</v>
      </c>
      <c r="E37" s="146" t="s">
        <v>6</v>
      </c>
      <c r="F37" s="146">
        <v>1</v>
      </c>
      <c r="G37" s="98" t="s">
        <v>492</v>
      </c>
      <c r="H37" s="147"/>
      <c r="I37" s="149"/>
      <c r="J37" s="149"/>
      <c r="K37" s="149"/>
      <c r="L37" s="160" t="s">
        <v>445</v>
      </c>
      <c r="M37" s="149"/>
      <c r="N37" s="149"/>
      <c r="O37" s="149"/>
      <c r="P37" s="149"/>
      <c r="Q37" s="149"/>
      <c r="R37" s="149"/>
      <c r="S37" s="149"/>
      <c r="T37" s="149"/>
      <c r="U37" s="149"/>
      <c r="V37" s="149"/>
      <c r="W37" s="149"/>
      <c r="X37" s="149"/>
      <c r="Y37" s="149"/>
      <c r="Z37" s="149"/>
      <c r="AA37" s="149"/>
    </row>
    <row r="38" spans="1:27" ht="19.5" customHeight="1" x14ac:dyDescent="0.25">
      <c r="A38" s="143">
        <v>29</v>
      </c>
      <c r="B38" s="98" t="s">
        <v>446</v>
      </c>
      <c r="C38" s="138" t="s">
        <v>499</v>
      </c>
      <c r="D38" s="155" t="s">
        <v>500</v>
      </c>
      <c r="E38" s="146" t="s">
        <v>3</v>
      </c>
      <c r="F38" s="146">
        <v>1</v>
      </c>
      <c r="G38" s="98" t="s">
        <v>492</v>
      </c>
      <c r="H38" s="147"/>
      <c r="I38" s="154"/>
      <c r="J38" s="154"/>
      <c r="K38" s="154"/>
      <c r="L38" s="160" t="s">
        <v>445</v>
      </c>
      <c r="M38" s="154"/>
      <c r="N38" s="154"/>
      <c r="O38" s="154"/>
      <c r="P38" s="154"/>
      <c r="Q38" s="154"/>
      <c r="R38" s="154"/>
      <c r="S38" s="154"/>
      <c r="T38" s="154"/>
      <c r="U38" s="154"/>
      <c r="V38" s="154"/>
      <c r="W38" s="154"/>
      <c r="X38" s="154"/>
      <c r="Y38" s="154"/>
      <c r="Z38" s="154"/>
      <c r="AA38" s="154"/>
    </row>
    <row r="39" spans="1:27" ht="19.5" customHeight="1" x14ac:dyDescent="0.25">
      <c r="A39" s="143">
        <v>30</v>
      </c>
      <c r="B39" s="150" t="s">
        <v>442</v>
      </c>
      <c r="C39" s="151" t="s">
        <v>501</v>
      </c>
      <c r="D39" s="152" t="s">
        <v>502</v>
      </c>
      <c r="E39" s="146" t="s">
        <v>3</v>
      </c>
      <c r="F39" s="146">
        <v>2</v>
      </c>
      <c r="G39" s="98" t="s">
        <v>492</v>
      </c>
      <c r="H39" s="147"/>
      <c r="I39" s="149"/>
      <c r="J39" s="149"/>
      <c r="K39" s="149"/>
      <c r="L39" s="160" t="s">
        <v>445</v>
      </c>
      <c r="M39" s="149"/>
      <c r="N39" s="149"/>
      <c r="O39" s="149"/>
      <c r="P39" s="149"/>
      <c r="Q39" s="149"/>
      <c r="R39" s="149"/>
      <c r="S39" s="149"/>
      <c r="T39" s="149"/>
      <c r="U39" s="149"/>
      <c r="V39" s="149"/>
      <c r="W39" s="149"/>
      <c r="X39" s="149"/>
      <c r="Y39" s="149"/>
      <c r="Z39" s="149"/>
      <c r="AA39" s="149"/>
    </row>
    <row r="40" spans="1:27" ht="19.5" customHeight="1" x14ac:dyDescent="0.25">
      <c r="A40" s="143">
        <v>31</v>
      </c>
      <c r="B40" s="98" t="s">
        <v>446</v>
      </c>
      <c r="C40" s="138" t="s">
        <v>503</v>
      </c>
      <c r="D40" s="155" t="s">
        <v>504</v>
      </c>
      <c r="E40" s="146" t="s">
        <v>6</v>
      </c>
      <c r="F40" s="146">
        <v>1</v>
      </c>
      <c r="G40" s="98" t="s">
        <v>492</v>
      </c>
      <c r="H40" s="147"/>
      <c r="I40" s="154"/>
      <c r="J40" s="154"/>
      <c r="K40" s="154"/>
      <c r="L40" s="160" t="s">
        <v>445</v>
      </c>
      <c r="M40" s="154"/>
      <c r="N40" s="154"/>
      <c r="O40" s="154"/>
      <c r="P40" s="154"/>
      <c r="Q40" s="154"/>
      <c r="R40" s="154"/>
      <c r="S40" s="154"/>
      <c r="T40" s="154"/>
      <c r="U40" s="154"/>
      <c r="V40" s="154"/>
      <c r="W40" s="154"/>
      <c r="X40" s="154"/>
      <c r="Y40" s="154"/>
      <c r="Z40" s="154"/>
      <c r="AA40" s="154"/>
    </row>
    <row r="41" spans="1:27" ht="19.5" customHeight="1" x14ac:dyDescent="0.25">
      <c r="A41" s="143">
        <v>32</v>
      </c>
      <c r="B41" s="150" t="s">
        <v>442</v>
      </c>
      <c r="C41" s="151" t="s">
        <v>505</v>
      </c>
      <c r="D41" s="152" t="s">
        <v>506</v>
      </c>
      <c r="E41" s="146" t="s">
        <v>3</v>
      </c>
      <c r="F41" s="146">
        <v>2</v>
      </c>
      <c r="G41" s="98" t="s">
        <v>492</v>
      </c>
      <c r="H41" s="147"/>
      <c r="I41" s="149"/>
      <c r="J41" s="149"/>
      <c r="K41" s="149"/>
      <c r="L41" s="149"/>
      <c r="M41" s="160" t="s">
        <v>445</v>
      </c>
      <c r="N41" s="149"/>
      <c r="O41" s="149"/>
      <c r="P41" s="149"/>
      <c r="Q41" s="149"/>
      <c r="R41" s="149"/>
      <c r="S41" s="149"/>
      <c r="T41" s="149"/>
      <c r="U41" s="149"/>
      <c r="V41" s="149"/>
      <c r="W41" s="149"/>
      <c r="X41" s="149"/>
      <c r="Y41" s="149"/>
      <c r="Z41" s="149"/>
      <c r="AA41" s="149"/>
    </row>
    <row r="42" spans="1:27" ht="19.5" customHeight="1" x14ac:dyDescent="0.25">
      <c r="A42" s="143">
        <v>33</v>
      </c>
      <c r="B42" s="98" t="s">
        <v>446</v>
      </c>
      <c r="C42" s="138" t="s">
        <v>507</v>
      </c>
      <c r="D42" s="155" t="s">
        <v>504</v>
      </c>
      <c r="E42" s="146" t="s">
        <v>6</v>
      </c>
      <c r="F42" s="146">
        <v>1</v>
      </c>
      <c r="G42" s="98" t="s">
        <v>492</v>
      </c>
      <c r="H42" s="147"/>
      <c r="I42" s="154"/>
      <c r="J42" s="154"/>
      <c r="K42" s="154"/>
      <c r="L42" s="154"/>
      <c r="M42" s="160" t="s">
        <v>445</v>
      </c>
      <c r="N42" s="154"/>
      <c r="O42" s="154"/>
      <c r="P42" s="154"/>
      <c r="Q42" s="154"/>
      <c r="R42" s="154"/>
      <c r="S42" s="154"/>
      <c r="T42" s="154"/>
      <c r="U42" s="154"/>
      <c r="V42" s="154"/>
      <c r="W42" s="154"/>
      <c r="X42" s="154"/>
      <c r="Y42" s="154"/>
      <c r="Z42" s="154"/>
      <c r="AA42" s="154"/>
    </row>
    <row r="43" spans="1:27" ht="19.5" customHeight="1" x14ac:dyDescent="0.25">
      <c r="A43" s="143">
        <v>34</v>
      </c>
      <c r="B43" s="98" t="s">
        <v>446</v>
      </c>
      <c r="C43" s="138" t="s">
        <v>508</v>
      </c>
      <c r="D43" s="155" t="s">
        <v>509</v>
      </c>
      <c r="E43" s="146" t="s">
        <v>6</v>
      </c>
      <c r="F43" s="146">
        <v>1</v>
      </c>
      <c r="G43" s="98" t="s">
        <v>492</v>
      </c>
      <c r="H43" s="147"/>
      <c r="I43" s="149"/>
      <c r="J43" s="149"/>
      <c r="K43" s="149"/>
      <c r="L43" s="149"/>
      <c r="M43" s="160" t="s">
        <v>445</v>
      </c>
      <c r="N43" s="149"/>
      <c r="O43" s="149"/>
      <c r="P43" s="149"/>
      <c r="Q43" s="149"/>
      <c r="R43" s="149"/>
      <c r="S43" s="149"/>
      <c r="T43" s="149"/>
      <c r="U43" s="149"/>
      <c r="V43" s="149"/>
      <c r="W43" s="149"/>
      <c r="X43" s="149"/>
      <c r="Y43" s="149"/>
      <c r="Z43" s="149"/>
      <c r="AA43" s="149"/>
    </row>
    <row r="44" spans="1:27" ht="19.5" customHeight="1" x14ac:dyDescent="0.25">
      <c r="A44" s="143">
        <v>35</v>
      </c>
      <c r="B44" s="150" t="s">
        <v>442</v>
      </c>
      <c r="C44" s="151" t="s">
        <v>510</v>
      </c>
      <c r="D44" s="152" t="s">
        <v>511</v>
      </c>
      <c r="E44" s="146" t="s">
        <v>3</v>
      </c>
      <c r="F44" s="146">
        <v>2</v>
      </c>
      <c r="G44" s="98" t="s">
        <v>492</v>
      </c>
      <c r="H44" s="147"/>
      <c r="I44" s="154"/>
      <c r="J44" s="154"/>
      <c r="K44" s="154"/>
      <c r="L44" s="154"/>
      <c r="M44" s="160" t="s">
        <v>445</v>
      </c>
      <c r="N44" s="154"/>
      <c r="O44" s="154"/>
      <c r="P44" s="154"/>
      <c r="Q44" s="154"/>
      <c r="R44" s="154"/>
      <c r="S44" s="154"/>
      <c r="T44" s="154"/>
      <c r="U44" s="154"/>
      <c r="V44" s="154"/>
      <c r="W44" s="154"/>
      <c r="X44" s="154"/>
      <c r="Y44" s="154"/>
      <c r="Z44" s="154"/>
      <c r="AA44" s="154"/>
    </row>
    <row r="45" spans="1:27" ht="19.5" customHeight="1" x14ac:dyDescent="0.25">
      <c r="A45" s="143">
        <v>36</v>
      </c>
      <c r="B45" s="98" t="s">
        <v>446</v>
      </c>
      <c r="C45" s="138" t="s">
        <v>512</v>
      </c>
      <c r="D45" s="155" t="s">
        <v>513</v>
      </c>
      <c r="E45" s="146" t="s">
        <v>6</v>
      </c>
      <c r="F45" s="146">
        <v>1</v>
      </c>
      <c r="G45" s="98" t="s">
        <v>492</v>
      </c>
      <c r="H45" s="147"/>
      <c r="I45" s="149"/>
      <c r="J45" s="149"/>
      <c r="K45" s="149"/>
      <c r="L45" s="149"/>
      <c r="M45" s="160" t="s">
        <v>445</v>
      </c>
      <c r="N45" s="149"/>
      <c r="O45" s="149"/>
      <c r="P45" s="149"/>
      <c r="Q45" s="149"/>
      <c r="R45" s="149"/>
      <c r="S45" s="149"/>
      <c r="T45" s="149"/>
      <c r="U45" s="149"/>
      <c r="V45" s="149"/>
      <c r="W45" s="149"/>
      <c r="X45" s="149"/>
      <c r="Y45" s="149"/>
      <c r="Z45" s="149"/>
      <c r="AA45" s="149"/>
    </row>
    <row r="46" spans="1:27" ht="19.5" customHeight="1" x14ac:dyDescent="0.25">
      <c r="A46" s="143">
        <v>37</v>
      </c>
      <c r="B46" s="98" t="s">
        <v>446</v>
      </c>
      <c r="C46" s="138" t="s">
        <v>514</v>
      </c>
      <c r="D46" s="155" t="s">
        <v>472</v>
      </c>
      <c r="E46" s="146" t="s">
        <v>6</v>
      </c>
      <c r="F46" s="146">
        <v>1</v>
      </c>
      <c r="G46" s="98" t="s">
        <v>492</v>
      </c>
      <c r="H46" s="147"/>
      <c r="I46" s="154"/>
      <c r="J46" s="154"/>
      <c r="K46" s="154"/>
      <c r="L46" s="154"/>
      <c r="M46" s="160" t="s">
        <v>445</v>
      </c>
      <c r="N46" s="154"/>
      <c r="O46" s="154"/>
      <c r="P46" s="154"/>
      <c r="Q46" s="154"/>
      <c r="R46" s="154"/>
      <c r="S46" s="154"/>
      <c r="T46" s="154"/>
      <c r="U46" s="154"/>
      <c r="V46" s="154"/>
      <c r="W46" s="154"/>
      <c r="X46" s="154"/>
      <c r="Y46" s="154"/>
      <c r="Z46" s="154"/>
      <c r="AA46" s="154"/>
    </row>
    <row r="47" spans="1:27" ht="19.5" customHeight="1" x14ac:dyDescent="0.25">
      <c r="A47" s="143">
        <v>38</v>
      </c>
      <c r="B47" s="98" t="s">
        <v>446</v>
      </c>
      <c r="C47" s="138" t="s">
        <v>515</v>
      </c>
      <c r="D47" s="155" t="s">
        <v>516</v>
      </c>
      <c r="E47" s="146" t="s">
        <v>3</v>
      </c>
      <c r="F47" s="146">
        <v>1</v>
      </c>
      <c r="G47" s="98" t="s">
        <v>492</v>
      </c>
      <c r="H47" s="147"/>
      <c r="I47" s="149"/>
      <c r="J47" s="149"/>
      <c r="K47" s="149"/>
      <c r="L47" s="149"/>
      <c r="M47" s="160" t="s">
        <v>445</v>
      </c>
      <c r="N47" s="149"/>
      <c r="O47" s="149"/>
      <c r="P47" s="149"/>
      <c r="Q47" s="149"/>
      <c r="R47" s="149"/>
      <c r="S47" s="149"/>
      <c r="T47" s="149"/>
      <c r="U47" s="149"/>
      <c r="V47" s="149"/>
      <c r="W47" s="149"/>
      <c r="X47" s="149"/>
      <c r="Y47" s="149"/>
      <c r="Z47" s="149"/>
      <c r="AA47" s="149"/>
    </row>
    <row r="48" spans="1:27" ht="19.5" customHeight="1" x14ac:dyDescent="0.25">
      <c r="A48" s="143">
        <v>39</v>
      </c>
      <c r="B48" s="150" t="s">
        <v>442</v>
      </c>
      <c r="C48" s="151" t="s">
        <v>517</v>
      </c>
      <c r="D48" s="152" t="s">
        <v>518</v>
      </c>
      <c r="E48" s="146" t="s">
        <v>3</v>
      </c>
      <c r="F48" s="146">
        <v>2</v>
      </c>
      <c r="G48" s="98" t="s">
        <v>492</v>
      </c>
      <c r="H48" s="147"/>
      <c r="I48" s="154"/>
      <c r="J48" s="154"/>
      <c r="K48" s="154"/>
      <c r="L48" s="154"/>
      <c r="M48" s="154"/>
      <c r="N48" s="160" t="s">
        <v>445</v>
      </c>
      <c r="O48" s="154"/>
      <c r="P48" s="154"/>
      <c r="Q48" s="154"/>
      <c r="R48" s="154"/>
      <c r="S48" s="154"/>
      <c r="T48" s="154"/>
      <c r="U48" s="154"/>
      <c r="V48" s="154"/>
      <c r="W48" s="154"/>
      <c r="X48" s="154"/>
      <c r="Y48" s="154"/>
      <c r="Z48" s="154"/>
      <c r="AA48" s="154"/>
    </row>
    <row r="49" spans="1:27" ht="19.5" customHeight="1" x14ac:dyDescent="0.25">
      <c r="A49" s="143">
        <v>40</v>
      </c>
      <c r="B49" s="98" t="s">
        <v>446</v>
      </c>
      <c r="C49" s="138" t="s">
        <v>519</v>
      </c>
      <c r="D49" s="155" t="s">
        <v>520</v>
      </c>
      <c r="E49" s="146" t="s">
        <v>3</v>
      </c>
      <c r="F49" s="146">
        <v>1</v>
      </c>
      <c r="G49" s="98" t="s">
        <v>492</v>
      </c>
      <c r="H49" s="147"/>
      <c r="I49" s="149"/>
      <c r="J49" s="149"/>
      <c r="K49" s="149"/>
      <c r="L49" s="149"/>
      <c r="M49" s="149"/>
      <c r="N49" s="160" t="s">
        <v>445</v>
      </c>
      <c r="O49" s="149"/>
      <c r="P49" s="149"/>
      <c r="Q49" s="149"/>
      <c r="R49" s="149"/>
      <c r="S49" s="149"/>
      <c r="T49" s="149"/>
      <c r="U49" s="149"/>
      <c r="V49" s="149"/>
      <c r="W49" s="149"/>
      <c r="X49" s="149"/>
      <c r="Y49" s="149"/>
      <c r="Z49" s="149"/>
      <c r="AA49" s="149"/>
    </row>
    <row r="50" spans="1:27" ht="19.5" customHeight="1" x14ac:dyDescent="0.25">
      <c r="A50" s="143">
        <v>41</v>
      </c>
      <c r="B50" s="98" t="s">
        <v>446</v>
      </c>
      <c r="C50" s="138" t="s">
        <v>521</v>
      </c>
      <c r="D50" s="155" t="s">
        <v>472</v>
      </c>
      <c r="E50" s="146" t="s">
        <v>6</v>
      </c>
      <c r="F50" s="146">
        <v>1</v>
      </c>
      <c r="G50" s="98" t="s">
        <v>492</v>
      </c>
      <c r="H50" s="147"/>
      <c r="I50" s="154"/>
      <c r="J50" s="154"/>
      <c r="K50" s="154"/>
      <c r="L50" s="154"/>
      <c r="M50" s="154"/>
      <c r="N50" s="160" t="s">
        <v>445</v>
      </c>
      <c r="O50" s="154"/>
      <c r="P50" s="154"/>
      <c r="Q50" s="154"/>
      <c r="R50" s="154"/>
      <c r="S50" s="154"/>
      <c r="T50" s="154"/>
      <c r="U50" s="154"/>
      <c r="V50" s="154"/>
      <c r="W50" s="154"/>
      <c r="X50" s="154"/>
      <c r="Y50" s="154"/>
      <c r="Z50" s="154"/>
      <c r="AA50" s="154"/>
    </row>
    <row r="51" spans="1:27" ht="19.5" customHeight="1" x14ac:dyDescent="0.25">
      <c r="A51" s="143">
        <v>42</v>
      </c>
      <c r="B51" s="150" t="s">
        <v>442</v>
      </c>
      <c r="C51" s="151" t="s">
        <v>522</v>
      </c>
      <c r="D51" s="152" t="s">
        <v>523</v>
      </c>
      <c r="E51" s="146" t="s">
        <v>6</v>
      </c>
      <c r="F51" s="146">
        <v>3</v>
      </c>
      <c r="G51" s="98" t="s">
        <v>492</v>
      </c>
      <c r="H51" s="147"/>
      <c r="I51" s="149"/>
      <c r="J51" s="149"/>
      <c r="K51" s="149"/>
      <c r="L51" s="149"/>
      <c r="M51" s="149"/>
      <c r="N51" s="160" t="s">
        <v>445</v>
      </c>
      <c r="O51" s="149"/>
      <c r="P51" s="149"/>
      <c r="Q51" s="149"/>
      <c r="R51" s="149"/>
      <c r="S51" s="149"/>
      <c r="T51" s="149"/>
      <c r="U51" s="149"/>
      <c r="V51" s="149"/>
      <c r="W51" s="149"/>
      <c r="X51" s="149"/>
      <c r="Y51" s="149"/>
      <c r="Z51" s="149"/>
      <c r="AA51" s="149"/>
    </row>
    <row r="52" spans="1:27" ht="19.5" customHeight="1" x14ac:dyDescent="0.25">
      <c r="A52" s="143">
        <v>43</v>
      </c>
      <c r="B52" s="98" t="s">
        <v>446</v>
      </c>
      <c r="C52" s="138" t="s">
        <v>524</v>
      </c>
      <c r="D52" s="155" t="s">
        <v>504</v>
      </c>
      <c r="E52" s="146" t="s">
        <v>6</v>
      </c>
      <c r="F52" s="146">
        <v>1</v>
      </c>
      <c r="G52" s="98" t="s">
        <v>492</v>
      </c>
      <c r="H52" s="147"/>
      <c r="I52" s="154"/>
      <c r="J52" s="154"/>
      <c r="K52" s="154"/>
      <c r="L52" s="154"/>
      <c r="M52" s="154"/>
      <c r="N52" s="160" t="s">
        <v>445</v>
      </c>
      <c r="O52" s="154"/>
      <c r="P52" s="154"/>
      <c r="Q52" s="154"/>
      <c r="R52" s="154"/>
      <c r="S52" s="154"/>
      <c r="T52" s="154"/>
      <c r="U52" s="154"/>
      <c r="V52" s="154"/>
      <c r="W52" s="154"/>
      <c r="X52" s="154"/>
      <c r="Y52" s="154"/>
      <c r="Z52" s="154"/>
      <c r="AA52" s="154"/>
    </row>
    <row r="53" spans="1:27" ht="19.5" customHeight="1" x14ac:dyDescent="0.25">
      <c r="A53" s="143">
        <v>44</v>
      </c>
      <c r="B53" s="98" t="s">
        <v>446</v>
      </c>
      <c r="C53" s="138" t="s">
        <v>525</v>
      </c>
      <c r="D53" s="155" t="s">
        <v>526</v>
      </c>
      <c r="E53" s="146" t="s">
        <v>6</v>
      </c>
      <c r="F53" s="146">
        <v>1</v>
      </c>
      <c r="G53" s="98" t="s">
        <v>492</v>
      </c>
      <c r="H53" s="147"/>
      <c r="I53" s="149"/>
      <c r="J53" s="149"/>
      <c r="K53" s="149"/>
      <c r="L53" s="149"/>
      <c r="M53" s="149"/>
      <c r="N53" s="160" t="s">
        <v>445</v>
      </c>
      <c r="O53" s="149"/>
      <c r="P53" s="149"/>
      <c r="Q53" s="149"/>
      <c r="R53" s="149"/>
      <c r="S53" s="149"/>
      <c r="T53" s="149"/>
      <c r="U53" s="149"/>
      <c r="V53" s="149"/>
      <c r="W53" s="149"/>
      <c r="X53" s="149"/>
      <c r="Y53" s="149"/>
      <c r="Z53" s="149"/>
      <c r="AA53" s="149"/>
    </row>
    <row r="54" spans="1:27" ht="19.5" customHeight="1" x14ac:dyDescent="0.25">
      <c r="A54" s="143">
        <v>45</v>
      </c>
      <c r="B54" s="98" t="s">
        <v>446</v>
      </c>
      <c r="C54" s="138" t="s">
        <v>527</v>
      </c>
      <c r="D54" s="155" t="s">
        <v>528</v>
      </c>
      <c r="E54" s="146" t="s">
        <v>6</v>
      </c>
      <c r="F54" s="146">
        <v>1</v>
      </c>
      <c r="G54" s="98" t="s">
        <v>492</v>
      </c>
      <c r="H54" s="147"/>
      <c r="I54" s="154"/>
      <c r="J54" s="154"/>
      <c r="K54" s="154"/>
      <c r="L54" s="154"/>
      <c r="M54" s="154"/>
      <c r="N54" s="160" t="s">
        <v>445</v>
      </c>
      <c r="O54" s="154"/>
      <c r="P54" s="154"/>
      <c r="Q54" s="154"/>
      <c r="R54" s="154"/>
      <c r="S54" s="154"/>
      <c r="T54" s="154"/>
      <c r="U54" s="154"/>
      <c r="V54" s="154"/>
      <c r="W54" s="154"/>
      <c r="X54" s="154"/>
      <c r="Y54" s="154"/>
      <c r="Z54" s="154"/>
      <c r="AA54" s="154"/>
    </row>
    <row r="55" spans="1:27" ht="19.5" customHeight="1" x14ac:dyDescent="0.25">
      <c r="A55" s="143">
        <v>46</v>
      </c>
      <c r="B55" s="156" t="s">
        <v>376</v>
      </c>
      <c r="C55" s="157" t="s">
        <v>529</v>
      </c>
      <c r="D55" s="158" t="s">
        <v>530</v>
      </c>
      <c r="E55" s="146" t="s">
        <v>133</v>
      </c>
      <c r="F55" s="146">
        <v>0.5</v>
      </c>
      <c r="G55" s="98" t="s">
        <v>492</v>
      </c>
      <c r="H55" s="147"/>
      <c r="I55" s="149"/>
      <c r="J55" s="149"/>
      <c r="K55" s="149"/>
      <c r="L55" s="149"/>
      <c r="M55" s="149"/>
      <c r="N55" s="159" t="s">
        <v>144</v>
      </c>
      <c r="O55" s="149"/>
      <c r="P55" s="149"/>
      <c r="Q55" s="149"/>
      <c r="R55" s="149"/>
      <c r="S55" s="149"/>
      <c r="T55" s="149"/>
      <c r="U55" s="149"/>
      <c r="V55" s="149"/>
      <c r="W55" s="149"/>
      <c r="X55" s="149"/>
      <c r="Y55" s="149"/>
      <c r="Z55" s="149"/>
      <c r="AA55" s="149"/>
    </row>
    <row r="56" spans="1:27" ht="19.5" customHeight="1" x14ac:dyDescent="0.25">
      <c r="A56" s="143">
        <v>47</v>
      </c>
      <c r="B56" s="156" t="s">
        <v>376</v>
      </c>
      <c r="C56" s="157" t="s">
        <v>531</v>
      </c>
      <c r="D56" s="158" t="s">
        <v>532</v>
      </c>
      <c r="E56" s="146" t="s">
        <v>133</v>
      </c>
      <c r="F56" s="146">
        <v>0.5</v>
      </c>
      <c r="G56" s="98" t="s">
        <v>492</v>
      </c>
      <c r="H56" s="147"/>
      <c r="I56" s="154"/>
      <c r="J56" s="154"/>
      <c r="K56" s="154"/>
      <c r="L56" s="154"/>
      <c r="M56" s="154"/>
      <c r="N56" s="159" t="s">
        <v>144</v>
      </c>
      <c r="O56" s="154"/>
      <c r="P56" s="154"/>
      <c r="Q56" s="154"/>
      <c r="R56" s="154"/>
      <c r="S56" s="154"/>
      <c r="T56" s="154"/>
      <c r="U56" s="154"/>
      <c r="V56" s="154"/>
      <c r="W56" s="154"/>
      <c r="X56" s="154"/>
      <c r="Y56" s="154"/>
      <c r="Z56" s="154"/>
      <c r="AA56" s="154"/>
    </row>
    <row r="57" spans="1:27" ht="19.5" customHeight="1" x14ac:dyDescent="0.25">
      <c r="A57" s="143">
        <v>48</v>
      </c>
      <c r="B57" s="156" t="s">
        <v>376</v>
      </c>
      <c r="C57" s="157" t="s">
        <v>533</v>
      </c>
      <c r="D57" s="158" t="s">
        <v>534</v>
      </c>
      <c r="E57" s="146" t="s">
        <v>133</v>
      </c>
      <c r="F57" s="146">
        <v>0.5</v>
      </c>
      <c r="G57" s="98" t="s">
        <v>492</v>
      </c>
      <c r="H57" s="147"/>
      <c r="I57" s="149"/>
      <c r="J57" s="149"/>
      <c r="K57" s="149"/>
      <c r="L57" s="149"/>
      <c r="M57" s="149"/>
      <c r="N57" s="159" t="s">
        <v>144</v>
      </c>
      <c r="O57" s="149"/>
      <c r="P57" s="149"/>
      <c r="Q57" s="149"/>
      <c r="R57" s="149"/>
      <c r="S57" s="149"/>
      <c r="T57" s="149"/>
      <c r="U57" s="149"/>
      <c r="V57" s="149"/>
      <c r="W57" s="149"/>
      <c r="X57" s="149"/>
      <c r="Y57" s="149"/>
      <c r="Z57" s="149"/>
      <c r="AA57" s="149"/>
    </row>
    <row r="59" spans="1:27" ht="24" customHeight="1" x14ac:dyDescent="0.25">
      <c r="A59" s="219" t="s">
        <v>535</v>
      </c>
      <c r="B59" s="219"/>
      <c r="C59" s="219"/>
      <c r="D59" s="219"/>
      <c r="E59" s="219"/>
      <c r="F59" s="219"/>
      <c r="G59" s="219"/>
      <c r="H59" s="219"/>
      <c r="I59" s="141"/>
      <c r="J59" s="141"/>
      <c r="K59" s="141"/>
      <c r="L59" s="141"/>
      <c r="M59" s="141"/>
      <c r="N59" s="141"/>
      <c r="O59" s="141"/>
      <c r="P59" s="141"/>
      <c r="Q59" s="141"/>
      <c r="R59" s="141"/>
      <c r="S59" s="141"/>
      <c r="T59" s="141"/>
      <c r="U59" s="141"/>
      <c r="V59" s="141"/>
      <c r="W59" s="141"/>
      <c r="X59" s="141"/>
      <c r="Y59" s="141"/>
      <c r="Z59" s="141"/>
      <c r="AA59" s="141"/>
    </row>
    <row r="60" spans="1:27" ht="19.5" customHeight="1" x14ac:dyDescent="0.25">
      <c r="A60" s="220" t="s">
        <v>536</v>
      </c>
      <c r="B60" s="220"/>
      <c r="C60" s="220"/>
      <c r="D60" s="220"/>
      <c r="E60" s="220"/>
      <c r="F60" s="220"/>
      <c r="G60" s="220"/>
      <c r="H60" s="220"/>
      <c r="I60" s="142"/>
      <c r="J60" s="142"/>
      <c r="K60" s="142"/>
      <c r="L60" s="142"/>
      <c r="M60" s="142"/>
      <c r="N60" s="142"/>
      <c r="O60" s="142"/>
      <c r="P60" s="142"/>
      <c r="Q60" s="142"/>
      <c r="R60" s="142"/>
      <c r="S60" s="142"/>
      <c r="T60" s="142"/>
      <c r="U60" s="142"/>
      <c r="V60" s="142"/>
      <c r="W60" s="142"/>
      <c r="X60" s="142"/>
      <c r="Y60" s="142"/>
      <c r="Z60" s="142"/>
      <c r="AA60" s="142"/>
    </row>
    <row r="61" spans="1:27" ht="24" customHeight="1" x14ac:dyDescent="0.25">
      <c r="A61" s="143">
        <v>49</v>
      </c>
      <c r="B61" s="144" t="s">
        <v>308</v>
      </c>
      <c r="C61" s="64" t="s">
        <v>327</v>
      </c>
      <c r="D61" s="145" t="s">
        <v>328</v>
      </c>
      <c r="E61" s="146" t="s">
        <v>133</v>
      </c>
      <c r="F61" s="146">
        <v>1</v>
      </c>
      <c r="G61" s="98" t="s">
        <v>537</v>
      </c>
      <c r="H61" s="147"/>
      <c r="I61" s="149"/>
      <c r="J61" s="149"/>
      <c r="K61" s="149"/>
      <c r="L61" s="149"/>
      <c r="M61" s="149"/>
      <c r="N61" s="149"/>
      <c r="O61" s="148" t="s">
        <v>441</v>
      </c>
      <c r="P61" s="148" t="s">
        <v>441</v>
      </c>
      <c r="Q61" s="148" t="s">
        <v>441</v>
      </c>
      <c r="R61" s="149"/>
      <c r="S61" s="149"/>
      <c r="T61" s="149"/>
      <c r="U61" s="149"/>
      <c r="V61" s="149"/>
      <c r="W61" s="149"/>
      <c r="X61" s="149"/>
      <c r="Y61" s="149"/>
      <c r="Z61" s="149"/>
      <c r="AA61" s="149"/>
    </row>
    <row r="62" spans="1:27" ht="19.5" customHeight="1" x14ac:dyDescent="0.25">
      <c r="A62" s="143">
        <v>50</v>
      </c>
      <c r="B62" s="150" t="s">
        <v>442</v>
      </c>
      <c r="C62" s="151" t="s">
        <v>538</v>
      </c>
      <c r="D62" s="152" t="s">
        <v>539</v>
      </c>
      <c r="E62" s="146" t="s">
        <v>3</v>
      </c>
      <c r="F62" s="146">
        <v>3</v>
      </c>
      <c r="G62" s="98" t="s">
        <v>537</v>
      </c>
      <c r="H62" s="147"/>
      <c r="I62" s="154"/>
      <c r="J62" s="154"/>
      <c r="K62" s="154"/>
      <c r="L62" s="154"/>
      <c r="M62" s="154"/>
      <c r="N62" s="154"/>
      <c r="O62" s="153" t="s">
        <v>445</v>
      </c>
      <c r="P62" s="154"/>
      <c r="Q62" s="154"/>
      <c r="R62" s="154"/>
      <c r="S62" s="154"/>
      <c r="T62" s="154"/>
      <c r="U62" s="154"/>
      <c r="V62" s="154"/>
      <c r="W62" s="154"/>
      <c r="X62" s="154"/>
      <c r="Y62" s="154"/>
      <c r="Z62" s="154"/>
      <c r="AA62" s="154"/>
    </row>
    <row r="63" spans="1:27" ht="19.5" customHeight="1" x14ac:dyDescent="0.25">
      <c r="A63" s="143">
        <v>51</v>
      </c>
      <c r="B63" s="98" t="s">
        <v>446</v>
      </c>
      <c r="C63" s="138" t="s">
        <v>540</v>
      </c>
      <c r="D63" s="155" t="s">
        <v>541</v>
      </c>
      <c r="E63" s="146" t="s">
        <v>3</v>
      </c>
      <c r="F63" s="146">
        <v>1</v>
      </c>
      <c r="G63" s="98" t="s">
        <v>537</v>
      </c>
      <c r="H63" s="147"/>
      <c r="I63" s="149"/>
      <c r="J63" s="149"/>
      <c r="K63" s="149"/>
      <c r="L63" s="149"/>
      <c r="M63" s="149"/>
      <c r="N63" s="149"/>
      <c r="O63" s="153" t="s">
        <v>445</v>
      </c>
      <c r="P63" s="149"/>
      <c r="Q63" s="149"/>
      <c r="R63" s="149"/>
      <c r="S63" s="149"/>
      <c r="T63" s="149"/>
      <c r="U63" s="149"/>
      <c r="V63" s="149"/>
      <c r="W63" s="149"/>
      <c r="X63" s="149"/>
      <c r="Y63" s="149"/>
      <c r="Z63" s="149"/>
      <c r="AA63" s="149"/>
    </row>
    <row r="64" spans="1:27" ht="19.5" customHeight="1" x14ac:dyDescent="0.25">
      <c r="A64" s="143">
        <v>52</v>
      </c>
      <c r="B64" s="98" t="s">
        <v>446</v>
      </c>
      <c r="C64" s="138" t="s">
        <v>542</v>
      </c>
      <c r="D64" s="155" t="s">
        <v>543</v>
      </c>
      <c r="E64" s="146" t="s">
        <v>6</v>
      </c>
      <c r="F64" s="146">
        <v>1</v>
      </c>
      <c r="G64" s="98" t="s">
        <v>537</v>
      </c>
      <c r="H64" s="147"/>
      <c r="I64" s="154"/>
      <c r="J64" s="154"/>
      <c r="K64" s="154"/>
      <c r="L64" s="154"/>
      <c r="M64" s="154"/>
      <c r="N64" s="154"/>
      <c r="O64" s="153" t="s">
        <v>445</v>
      </c>
      <c r="P64" s="154"/>
      <c r="Q64" s="154"/>
      <c r="R64" s="154"/>
      <c r="S64" s="154"/>
      <c r="T64" s="154"/>
      <c r="U64" s="154"/>
      <c r="V64" s="154"/>
      <c r="W64" s="154"/>
      <c r="X64" s="154"/>
      <c r="Y64" s="154"/>
      <c r="Z64" s="154"/>
      <c r="AA64" s="154"/>
    </row>
    <row r="65" spans="1:27" ht="19.5" customHeight="1" x14ac:dyDescent="0.25">
      <c r="A65" s="143">
        <v>53</v>
      </c>
      <c r="B65" s="98" t="s">
        <v>446</v>
      </c>
      <c r="C65" s="138" t="s">
        <v>544</v>
      </c>
      <c r="D65" s="155" t="s">
        <v>545</v>
      </c>
      <c r="E65" s="146" t="s">
        <v>3</v>
      </c>
      <c r="F65" s="146">
        <v>1</v>
      </c>
      <c r="G65" s="98" t="s">
        <v>537</v>
      </c>
      <c r="H65" s="147"/>
      <c r="I65" s="149"/>
      <c r="J65" s="149"/>
      <c r="K65" s="149"/>
      <c r="L65" s="149"/>
      <c r="M65" s="149"/>
      <c r="N65" s="149"/>
      <c r="O65" s="153" t="s">
        <v>445</v>
      </c>
      <c r="P65" s="149"/>
      <c r="Q65" s="149"/>
      <c r="R65" s="149"/>
      <c r="S65" s="149"/>
      <c r="T65" s="149"/>
      <c r="U65" s="149"/>
      <c r="V65" s="149"/>
      <c r="W65" s="149"/>
      <c r="X65" s="149"/>
      <c r="Y65" s="149"/>
      <c r="Z65" s="149"/>
      <c r="AA65" s="149"/>
    </row>
    <row r="66" spans="1:27" ht="19.5" customHeight="1" x14ac:dyDescent="0.25">
      <c r="A66" s="143">
        <v>54</v>
      </c>
      <c r="B66" s="98" t="s">
        <v>446</v>
      </c>
      <c r="C66" s="138" t="s">
        <v>546</v>
      </c>
      <c r="D66" s="155" t="s">
        <v>547</v>
      </c>
      <c r="E66" s="146" t="s">
        <v>3</v>
      </c>
      <c r="F66" s="146">
        <v>1</v>
      </c>
      <c r="G66" s="98" t="s">
        <v>537</v>
      </c>
      <c r="H66" s="147"/>
      <c r="I66" s="154"/>
      <c r="J66" s="154"/>
      <c r="K66" s="154"/>
      <c r="L66" s="154"/>
      <c r="M66" s="154"/>
      <c r="N66" s="154"/>
      <c r="O66" s="153" t="s">
        <v>445</v>
      </c>
      <c r="P66" s="154"/>
      <c r="Q66" s="154"/>
      <c r="R66" s="154"/>
      <c r="S66" s="154"/>
      <c r="T66" s="154"/>
      <c r="U66" s="154"/>
      <c r="V66" s="154"/>
      <c r="W66" s="154"/>
      <c r="X66" s="154"/>
      <c r="Y66" s="154"/>
      <c r="Z66" s="154"/>
      <c r="AA66" s="154"/>
    </row>
    <row r="67" spans="1:27" ht="19.5" customHeight="1" x14ac:dyDescent="0.25">
      <c r="A67" s="143">
        <v>55</v>
      </c>
      <c r="B67" s="98" t="s">
        <v>446</v>
      </c>
      <c r="C67" s="138" t="s">
        <v>548</v>
      </c>
      <c r="D67" s="155" t="s">
        <v>549</v>
      </c>
      <c r="E67" s="146" t="s">
        <v>6</v>
      </c>
      <c r="F67" s="146">
        <v>1</v>
      </c>
      <c r="G67" s="98" t="s">
        <v>537</v>
      </c>
      <c r="H67" s="147"/>
      <c r="I67" s="149"/>
      <c r="J67" s="149"/>
      <c r="K67" s="149"/>
      <c r="L67" s="149"/>
      <c r="M67" s="149"/>
      <c r="N67" s="149"/>
      <c r="O67" s="153" t="s">
        <v>445</v>
      </c>
      <c r="P67" s="149"/>
      <c r="Q67" s="149"/>
      <c r="R67" s="149"/>
      <c r="S67" s="149"/>
      <c r="T67" s="149"/>
      <c r="U67" s="149"/>
      <c r="V67" s="149"/>
      <c r="W67" s="149"/>
      <c r="X67" s="149"/>
      <c r="Y67" s="149"/>
      <c r="Z67" s="149"/>
      <c r="AA67" s="149"/>
    </row>
    <row r="68" spans="1:27" ht="19.5" customHeight="1" x14ac:dyDescent="0.25">
      <c r="A68" s="143">
        <v>56</v>
      </c>
      <c r="B68" s="150" t="s">
        <v>442</v>
      </c>
      <c r="C68" s="151" t="s">
        <v>550</v>
      </c>
      <c r="D68" s="152" t="s">
        <v>551</v>
      </c>
      <c r="E68" s="146" t="s">
        <v>9</v>
      </c>
      <c r="F68" s="146">
        <v>2</v>
      </c>
      <c r="G68" s="98" t="s">
        <v>537</v>
      </c>
      <c r="H68" s="147"/>
      <c r="I68" s="154"/>
      <c r="J68" s="154"/>
      <c r="K68" s="154"/>
      <c r="L68" s="154"/>
      <c r="M68" s="154"/>
      <c r="N68" s="154"/>
      <c r="O68" s="154"/>
      <c r="P68" s="153" t="s">
        <v>445</v>
      </c>
      <c r="Q68" s="154"/>
      <c r="R68" s="154"/>
      <c r="S68" s="154"/>
      <c r="T68" s="154"/>
      <c r="U68" s="154"/>
      <c r="V68" s="154"/>
      <c r="W68" s="154"/>
      <c r="X68" s="154"/>
      <c r="Y68" s="154"/>
      <c r="Z68" s="154"/>
      <c r="AA68" s="154"/>
    </row>
    <row r="69" spans="1:27" ht="19.5" customHeight="1" x14ac:dyDescent="0.25">
      <c r="A69" s="143">
        <v>57</v>
      </c>
      <c r="B69" s="98" t="s">
        <v>446</v>
      </c>
      <c r="C69" s="138" t="s">
        <v>552</v>
      </c>
      <c r="D69" s="155" t="s">
        <v>553</v>
      </c>
      <c r="E69" s="146" t="s">
        <v>6</v>
      </c>
      <c r="F69" s="146">
        <v>1</v>
      </c>
      <c r="G69" s="98" t="s">
        <v>537</v>
      </c>
      <c r="H69" s="147"/>
      <c r="I69" s="149"/>
      <c r="J69" s="149"/>
      <c r="K69" s="149"/>
      <c r="L69" s="149"/>
      <c r="M69" s="149"/>
      <c r="N69" s="149"/>
      <c r="O69" s="149"/>
      <c r="P69" s="153" t="s">
        <v>445</v>
      </c>
      <c r="Q69" s="149"/>
      <c r="R69" s="149"/>
      <c r="S69" s="149"/>
      <c r="T69" s="149"/>
      <c r="U69" s="149"/>
      <c r="V69" s="149"/>
      <c r="W69" s="149"/>
      <c r="X69" s="149"/>
      <c r="Y69" s="149"/>
      <c r="Z69" s="149"/>
      <c r="AA69" s="149"/>
    </row>
    <row r="70" spans="1:27" ht="19.5" customHeight="1" x14ac:dyDescent="0.25">
      <c r="A70" s="143">
        <v>58</v>
      </c>
      <c r="B70" s="150" t="s">
        <v>442</v>
      </c>
      <c r="C70" s="151" t="s">
        <v>554</v>
      </c>
      <c r="D70" s="152" t="s">
        <v>555</v>
      </c>
      <c r="E70" s="146" t="s">
        <v>9</v>
      </c>
      <c r="F70" s="146">
        <v>2</v>
      </c>
      <c r="G70" s="98" t="s">
        <v>537</v>
      </c>
      <c r="H70" s="147"/>
      <c r="I70" s="154"/>
      <c r="J70" s="154"/>
      <c r="K70" s="154"/>
      <c r="L70" s="154"/>
      <c r="M70" s="154"/>
      <c r="N70" s="154"/>
      <c r="O70" s="154"/>
      <c r="P70" s="153" t="s">
        <v>445</v>
      </c>
      <c r="Q70" s="154"/>
      <c r="R70" s="154"/>
      <c r="S70" s="154"/>
      <c r="T70" s="154"/>
      <c r="U70" s="154"/>
      <c r="V70" s="154"/>
      <c r="W70" s="154"/>
      <c r="X70" s="154"/>
      <c r="Y70" s="154"/>
      <c r="Z70" s="154"/>
      <c r="AA70" s="154"/>
    </row>
    <row r="71" spans="1:27" ht="19.5" customHeight="1" x14ac:dyDescent="0.25">
      <c r="A71" s="143">
        <v>59</v>
      </c>
      <c r="B71" s="98" t="s">
        <v>446</v>
      </c>
      <c r="C71" s="138" t="s">
        <v>556</v>
      </c>
      <c r="D71" s="155" t="s">
        <v>553</v>
      </c>
      <c r="E71" s="146" t="s">
        <v>6</v>
      </c>
      <c r="F71" s="146">
        <v>1</v>
      </c>
      <c r="G71" s="98" t="s">
        <v>537</v>
      </c>
      <c r="H71" s="147"/>
      <c r="I71" s="149"/>
      <c r="J71" s="149"/>
      <c r="K71" s="149"/>
      <c r="L71" s="149"/>
      <c r="M71" s="149"/>
      <c r="N71" s="149"/>
      <c r="O71" s="149"/>
      <c r="P71" s="153" t="s">
        <v>445</v>
      </c>
      <c r="Q71" s="149"/>
      <c r="R71" s="149"/>
      <c r="S71" s="149"/>
      <c r="T71" s="149"/>
      <c r="U71" s="149"/>
      <c r="V71" s="149"/>
      <c r="W71" s="149"/>
      <c r="X71" s="149"/>
      <c r="Y71" s="149"/>
      <c r="Z71" s="149"/>
      <c r="AA71" s="149"/>
    </row>
    <row r="72" spans="1:27" ht="19.5" customHeight="1" x14ac:dyDescent="0.25">
      <c r="A72" s="143">
        <v>60</v>
      </c>
      <c r="B72" s="150" t="s">
        <v>442</v>
      </c>
      <c r="C72" s="151" t="s">
        <v>557</v>
      </c>
      <c r="D72" s="152" t="s">
        <v>558</v>
      </c>
      <c r="E72" s="146" t="s">
        <v>6</v>
      </c>
      <c r="F72" s="146">
        <v>2</v>
      </c>
      <c r="G72" s="98" t="s">
        <v>537</v>
      </c>
      <c r="H72" s="147"/>
      <c r="I72" s="154"/>
      <c r="J72" s="154"/>
      <c r="K72" s="154"/>
      <c r="L72" s="154"/>
      <c r="M72" s="154"/>
      <c r="N72" s="154"/>
      <c r="O72" s="154"/>
      <c r="P72" s="153" t="s">
        <v>445</v>
      </c>
      <c r="Q72" s="154"/>
      <c r="R72" s="154"/>
      <c r="S72" s="154"/>
      <c r="T72" s="154"/>
      <c r="U72" s="154"/>
      <c r="V72" s="154"/>
      <c r="W72" s="154"/>
      <c r="X72" s="154"/>
      <c r="Y72" s="154"/>
      <c r="Z72" s="154"/>
      <c r="AA72" s="154"/>
    </row>
    <row r="73" spans="1:27" ht="19.5" customHeight="1" x14ac:dyDescent="0.25">
      <c r="A73" s="143">
        <v>61</v>
      </c>
      <c r="B73" s="98" t="s">
        <v>446</v>
      </c>
      <c r="C73" s="138" t="s">
        <v>559</v>
      </c>
      <c r="D73" s="155" t="s">
        <v>560</v>
      </c>
      <c r="E73" s="146" t="s">
        <v>6</v>
      </c>
      <c r="F73" s="146">
        <v>1</v>
      </c>
      <c r="G73" s="98" t="s">
        <v>537</v>
      </c>
      <c r="H73" s="147"/>
      <c r="I73" s="149"/>
      <c r="J73" s="149"/>
      <c r="K73" s="149"/>
      <c r="L73" s="149"/>
      <c r="M73" s="149"/>
      <c r="N73" s="149"/>
      <c r="O73" s="149"/>
      <c r="P73" s="153" t="s">
        <v>445</v>
      </c>
      <c r="Q73" s="149"/>
      <c r="R73" s="149"/>
      <c r="S73" s="149"/>
      <c r="T73" s="149"/>
      <c r="U73" s="149"/>
      <c r="V73" s="149"/>
      <c r="W73" s="149"/>
      <c r="X73" s="149"/>
      <c r="Y73" s="149"/>
      <c r="Z73" s="149"/>
      <c r="AA73" s="149"/>
    </row>
    <row r="74" spans="1:27" ht="19.5" customHeight="1" x14ac:dyDescent="0.25">
      <c r="A74" s="143">
        <v>62</v>
      </c>
      <c r="B74" s="98" t="s">
        <v>446</v>
      </c>
      <c r="C74" s="138" t="s">
        <v>561</v>
      </c>
      <c r="D74" s="155" t="s">
        <v>562</v>
      </c>
      <c r="E74" s="146" t="s">
        <v>6</v>
      </c>
      <c r="F74" s="146">
        <v>1</v>
      </c>
      <c r="G74" s="98" t="s">
        <v>537</v>
      </c>
      <c r="H74" s="147"/>
      <c r="I74" s="154"/>
      <c r="J74" s="154"/>
      <c r="K74" s="154"/>
      <c r="L74" s="154"/>
      <c r="M74" s="154"/>
      <c r="N74" s="154"/>
      <c r="O74" s="154"/>
      <c r="P74" s="153" t="s">
        <v>445</v>
      </c>
      <c r="Q74" s="154"/>
      <c r="R74" s="154"/>
      <c r="S74" s="154"/>
      <c r="T74" s="154"/>
      <c r="U74" s="154"/>
      <c r="V74" s="154"/>
      <c r="W74" s="154"/>
      <c r="X74" s="154"/>
      <c r="Y74" s="154"/>
      <c r="Z74" s="154"/>
      <c r="AA74" s="154"/>
    </row>
    <row r="75" spans="1:27" ht="19.5" customHeight="1" x14ac:dyDescent="0.25">
      <c r="A75" s="143">
        <v>63</v>
      </c>
      <c r="B75" s="98" t="s">
        <v>446</v>
      </c>
      <c r="C75" s="138" t="s">
        <v>563</v>
      </c>
      <c r="D75" s="155" t="s">
        <v>472</v>
      </c>
      <c r="E75" s="146" t="s">
        <v>6</v>
      </c>
      <c r="F75" s="146">
        <v>1</v>
      </c>
      <c r="G75" s="98" t="s">
        <v>537</v>
      </c>
      <c r="H75" s="147"/>
      <c r="I75" s="149"/>
      <c r="J75" s="149"/>
      <c r="K75" s="149"/>
      <c r="L75" s="149"/>
      <c r="M75" s="149"/>
      <c r="N75" s="149"/>
      <c r="O75" s="149"/>
      <c r="P75" s="153" t="s">
        <v>445</v>
      </c>
      <c r="Q75" s="149"/>
      <c r="R75" s="149"/>
      <c r="S75" s="149"/>
      <c r="T75" s="149"/>
      <c r="U75" s="149"/>
      <c r="V75" s="149"/>
      <c r="W75" s="149"/>
      <c r="X75" s="149"/>
      <c r="Y75" s="149"/>
      <c r="Z75" s="149"/>
      <c r="AA75" s="149"/>
    </row>
    <row r="76" spans="1:27" ht="19.5" customHeight="1" x14ac:dyDescent="0.25">
      <c r="A76" s="143">
        <v>64</v>
      </c>
      <c r="B76" s="150" t="s">
        <v>442</v>
      </c>
      <c r="C76" s="151" t="s">
        <v>564</v>
      </c>
      <c r="D76" s="152" t="s">
        <v>565</v>
      </c>
      <c r="E76" s="146" t="s">
        <v>3</v>
      </c>
      <c r="F76" s="146">
        <v>3</v>
      </c>
      <c r="G76" s="98" t="s">
        <v>537</v>
      </c>
      <c r="H76" s="147"/>
      <c r="I76" s="154"/>
      <c r="J76" s="154"/>
      <c r="K76" s="154"/>
      <c r="L76" s="154"/>
      <c r="M76" s="154"/>
      <c r="N76" s="154"/>
      <c r="O76" s="154"/>
      <c r="P76" s="154"/>
      <c r="Q76" s="153" t="s">
        <v>445</v>
      </c>
      <c r="R76" s="154"/>
      <c r="S76" s="154"/>
      <c r="T76" s="154"/>
      <c r="U76" s="154"/>
      <c r="V76" s="154"/>
      <c r="W76" s="154"/>
      <c r="X76" s="154"/>
      <c r="Y76" s="154"/>
      <c r="Z76" s="154"/>
      <c r="AA76" s="154"/>
    </row>
    <row r="77" spans="1:27" ht="19.5" customHeight="1" x14ac:dyDescent="0.25">
      <c r="A77" s="143">
        <v>65</v>
      </c>
      <c r="B77" s="98" t="s">
        <v>446</v>
      </c>
      <c r="C77" s="138" t="s">
        <v>566</v>
      </c>
      <c r="D77" s="155" t="s">
        <v>567</v>
      </c>
      <c r="E77" s="146" t="s">
        <v>6</v>
      </c>
      <c r="F77" s="146">
        <v>1</v>
      </c>
      <c r="G77" s="98" t="s">
        <v>537</v>
      </c>
      <c r="H77" s="147"/>
      <c r="I77" s="149"/>
      <c r="J77" s="149"/>
      <c r="K77" s="149"/>
      <c r="L77" s="149"/>
      <c r="M77" s="149"/>
      <c r="N77" s="149"/>
      <c r="O77" s="149"/>
      <c r="P77" s="149"/>
      <c r="Q77" s="153" t="s">
        <v>445</v>
      </c>
      <c r="R77" s="149"/>
      <c r="S77" s="149"/>
      <c r="T77" s="149"/>
      <c r="U77" s="149"/>
      <c r="V77" s="149"/>
      <c r="W77" s="149"/>
      <c r="X77" s="149"/>
      <c r="Y77" s="149"/>
      <c r="Z77" s="149"/>
      <c r="AA77" s="149"/>
    </row>
    <row r="78" spans="1:27" ht="19.5" customHeight="1" x14ac:dyDescent="0.25">
      <c r="A78" s="143">
        <v>66</v>
      </c>
      <c r="B78" s="98" t="s">
        <v>446</v>
      </c>
      <c r="C78" s="138" t="s">
        <v>568</v>
      </c>
      <c r="D78" s="155" t="s">
        <v>569</v>
      </c>
      <c r="E78" s="146" t="s">
        <v>6</v>
      </c>
      <c r="F78" s="146">
        <v>1</v>
      </c>
      <c r="G78" s="98" t="s">
        <v>537</v>
      </c>
      <c r="H78" s="147"/>
      <c r="I78" s="154"/>
      <c r="J78" s="154"/>
      <c r="K78" s="154"/>
      <c r="L78" s="154"/>
      <c r="M78" s="154"/>
      <c r="N78" s="154"/>
      <c r="O78" s="154"/>
      <c r="P78" s="154"/>
      <c r="Q78" s="153" t="s">
        <v>445</v>
      </c>
      <c r="R78" s="154"/>
      <c r="S78" s="154"/>
      <c r="T78" s="154"/>
      <c r="U78" s="154"/>
      <c r="V78" s="154"/>
      <c r="W78" s="154"/>
      <c r="X78" s="154"/>
      <c r="Y78" s="154"/>
      <c r="Z78" s="154"/>
      <c r="AA78" s="154"/>
    </row>
    <row r="79" spans="1:27" ht="19.5" customHeight="1" x14ac:dyDescent="0.25">
      <c r="A79" s="143">
        <v>67</v>
      </c>
      <c r="B79" s="98" t="s">
        <v>446</v>
      </c>
      <c r="C79" s="138" t="s">
        <v>570</v>
      </c>
      <c r="D79" s="155" t="s">
        <v>571</v>
      </c>
      <c r="E79" s="146" t="s">
        <v>3</v>
      </c>
      <c r="F79" s="146">
        <v>1</v>
      </c>
      <c r="G79" s="98" t="s">
        <v>537</v>
      </c>
      <c r="H79" s="147"/>
      <c r="I79" s="149"/>
      <c r="J79" s="149"/>
      <c r="K79" s="149"/>
      <c r="L79" s="149"/>
      <c r="M79" s="149"/>
      <c r="N79" s="149"/>
      <c r="O79" s="149"/>
      <c r="P79" s="149"/>
      <c r="Q79" s="153" t="s">
        <v>445</v>
      </c>
      <c r="R79" s="149"/>
      <c r="S79" s="149"/>
      <c r="T79" s="149"/>
      <c r="U79" s="149"/>
      <c r="V79" s="149"/>
      <c r="W79" s="149"/>
      <c r="X79" s="149"/>
      <c r="Y79" s="149"/>
      <c r="Z79" s="149"/>
      <c r="AA79" s="149"/>
    </row>
    <row r="80" spans="1:27" ht="19.5" customHeight="1" x14ac:dyDescent="0.25">
      <c r="A80" s="143">
        <v>68</v>
      </c>
      <c r="B80" s="156" t="s">
        <v>376</v>
      </c>
      <c r="C80" s="157" t="s">
        <v>572</v>
      </c>
      <c r="D80" s="158" t="s">
        <v>573</v>
      </c>
      <c r="E80" s="146" t="s">
        <v>133</v>
      </c>
      <c r="F80" s="146">
        <v>0.5</v>
      </c>
      <c r="G80" s="98" t="s">
        <v>537</v>
      </c>
      <c r="H80" s="147"/>
      <c r="I80" s="154"/>
      <c r="J80" s="154"/>
      <c r="K80" s="154"/>
      <c r="L80" s="154"/>
      <c r="M80" s="154"/>
      <c r="N80" s="154"/>
      <c r="O80" s="154"/>
      <c r="P80" s="154"/>
      <c r="Q80" s="159" t="s">
        <v>144</v>
      </c>
      <c r="R80" s="154"/>
      <c r="S80" s="154"/>
      <c r="T80" s="154"/>
      <c r="U80" s="154"/>
      <c r="V80" s="154"/>
      <c r="W80" s="154"/>
      <c r="X80" s="154"/>
      <c r="Y80" s="154"/>
      <c r="Z80" s="154"/>
      <c r="AA80" s="154"/>
    </row>
    <row r="81" spans="1:27" ht="19.5" customHeight="1" x14ac:dyDescent="0.25">
      <c r="A81" s="143">
        <v>69</v>
      </c>
      <c r="B81" s="156" t="s">
        <v>376</v>
      </c>
      <c r="C81" s="157" t="s">
        <v>574</v>
      </c>
      <c r="D81" s="158" t="s">
        <v>575</v>
      </c>
      <c r="E81" s="146" t="s">
        <v>133</v>
      </c>
      <c r="F81" s="146">
        <v>0.5</v>
      </c>
      <c r="G81" s="98" t="s">
        <v>537</v>
      </c>
      <c r="H81" s="147"/>
      <c r="I81" s="149"/>
      <c r="J81" s="149"/>
      <c r="K81" s="149"/>
      <c r="L81" s="149"/>
      <c r="M81" s="149"/>
      <c r="N81" s="149"/>
      <c r="O81" s="149"/>
      <c r="P81" s="149"/>
      <c r="Q81" s="159" t="s">
        <v>144</v>
      </c>
      <c r="R81" s="149"/>
      <c r="S81" s="149"/>
      <c r="T81" s="149"/>
      <c r="U81" s="149"/>
      <c r="V81" s="149"/>
      <c r="W81" s="149"/>
      <c r="X81" s="149"/>
      <c r="Y81" s="149"/>
      <c r="Z81" s="149"/>
      <c r="AA81" s="149"/>
    </row>
    <row r="82" spans="1:27" ht="19.5" customHeight="1" x14ac:dyDescent="0.25">
      <c r="A82" s="143">
        <v>70</v>
      </c>
      <c r="B82" s="156" t="s">
        <v>376</v>
      </c>
      <c r="C82" s="157" t="s">
        <v>576</v>
      </c>
      <c r="D82" s="158" t="s">
        <v>577</v>
      </c>
      <c r="E82" s="146" t="s">
        <v>133</v>
      </c>
      <c r="F82" s="146">
        <v>0.5</v>
      </c>
      <c r="G82" s="98" t="s">
        <v>537</v>
      </c>
      <c r="H82" s="147"/>
      <c r="I82" s="154"/>
      <c r="J82" s="154"/>
      <c r="K82" s="154"/>
      <c r="L82" s="154"/>
      <c r="M82" s="154"/>
      <c r="N82" s="154"/>
      <c r="O82" s="154"/>
      <c r="P82" s="154"/>
      <c r="Q82" s="159" t="s">
        <v>144</v>
      </c>
      <c r="R82" s="154"/>
      <c r="S82" s="154"/>
      <c r="T82" s="154"/>
      <c r="U82" s="154"/>
      <c r="V82" s="154"/>
      <c r="W82" s="154"/>
      <c r="X82" s="154"/>
      <c r="Y82" s="154"/>
      <c r="Z82" s="154"/>
      <c r="AA82" s="154"/>
    </row>
    <row r="84" spans="1:27" ht="24" customHeight="1" x14ac:dyDescent="0.25">
      <c r="A84" s="219" t="s">
        <v>578</v>
      </c>
      <c r="B84" s="219"/>
      <c r="C84" s="219"/>
      <c r="D84" s="219"/>
      <c r="E84" s="219"/>
      <c r="F84" s="219"/>
      <c r="G84" s="219"/>
      <c r="H84" s="219"/>
      <c r="I84" s="141"/>
      <c r="J84" s="141"/>
      <c r="K84" s="141"/>
      <c r="L84" s="141"/>
      <c r="M84" s="141"/>
      <c r="N84" s="141"/>
      <c r="O84" s="141"/>
      <c r="P84" s="141"/>
      <c r="Q84" s="141"/>
      <c r="R84" s="141"/>
      <c r="S84" s="141"/>
      <c r="T84" s="141"/>
      <c r="U84" s="141"/>
      <c r="V84" s="141"/>
      <c r="W84" s="141"/>
      <c r="X84" s="141"/>
      <c r="Y84" s="141"/>
      <c r="Z84" s="141"/>
      <c r="AA84" s="141"/>
    </row>
    <row r="85" spans="1:27" ht="19.5" customHeight="1" x14ac:dyDescent="0.25">
      <c r="A85" s="220" t="s">
        <v>579</v>
      </c>
      <c r="B85" s="220"/>
      <c r="C85" s="220"/>
      <c r="D85" s="220"/>
      <c r="E85" s="220"/>
      <c r="F85" s="220"/>
      <c r="G85" s="220"/>
      <c r="H85" s="220"/>
      <c r="I85" s="142"/>
      <c r="J85" s="142"/>
      <c r="K85" s="142"/>
      <c r="L85" s="142"/>
      <c r="M85" s="142"/>
      <c r="N85" s="142"/>
      <c r="O85" s="142"/>
      <c r="P85" s="142"/>
      <c r="Q85" s="142"/>
      <c r="R85" s="142"/>
      <c r="S85" s="142"/>
      <c r="T85" s="142"/>
      <c r="U85" s="142"/>
      <c r="V85" s="142"/>
      <c r="W85" s="142"/>
      <c r="X85" s="142"/>
      <c r="Y85" s="142"/>
      <c r="Z85" s="142"/>
      <c r="AA85" s="142"/>
    </row>
    <row r="86" spans="1:27" ht="24" customHeight="1" x14ac:dyDescent="0.25">
      <c r="A86" s="143">
        <v>71</v>
      </c>
      <c r="B86" s="144" t="s">
        <v>308</v>
      </c>
      <c r="C86" s="64" t="s">
        <v>332</v>
      </c>
      <c r="D86" s="145" t="s">
        <v>580</v>
      </c>
      <c r="E86" s="146" t="s">
        <v>133</v>
      </c>
      <c r="F86" s="146">
        <v>1</v>
      </c>
      <c r="G86" s="98" t="s">
        <v>581</v>
      </c>
      <c r="H86" s="147"/>
      <c r="I86" s="154"/>
      <c r="J86" s="154"/>
      <c r="K86" s="154"/>
      <c r="L86" s="154"/>
      <c r="M86" s="154"/>
      <c r="N86" s="154"/>
      <c r="O86" s="154"/>
      <c r="P86" s="154"/>
      <c r="Q86" s="154"/>
      <c r="R86" s="148" t="s">
        <v>441</v>
      </c>
      <c r="S86" s="148" t="s">
        <v>441</v>
      </c>
      <c r="T86" s="148" t="s">
        <v>441</v>
      </c>
      <c r="U86" s="154"/>
      <c r="V86" s="154"/>
      <c r="W86" s="154"/>
      <c r="X86" s="154"/>
      <c r="Y86" s="154"/>
      <c r="Z86" s="154"/>
      <c r="AA86" s="154"/>
    </row>
    <row r="87" spans="1:27" ht="19.5" customHeight="1" x14ac:dyDescent="0.25">
      <c r="A87" s="143">
        <v>72</v>
      </c>
      <c r="B87" s="150" t="s">
        <v>442</v>
      </c>
      <c r="C87" s="151" t="s">
        <v>582</v>
      </c>
      <c r="D87" s="152" t="s">
        <v>583</v>
      </c>
      <c r="E87" s="146" t="s">
        <v>6</v>
      </c>
      <c r="F87" s="146">
        <v>3</v>
      </c>
      <c r="G87" s="98" t="s">
        <v>581</v>
      </c>
      <c r="H87" s="147"/>
      <c r="I87" s="149"/>
      <c r="J87" s="149"/>
      <c r="K87" s="149"/>
      <c r="L87" s="149"/>
      <c r="M87" s="149"/>
      <c r="N87" s="149"/>
      <c r="O87" s="149"/>
      <c r="P87" s="149"/>
      <c r="Q87" s="149"/>
      <c r="R87" s="160" t="s">
        <v>445</v>
      </c>
      <c r="S87" s="149"/>
      <c r="T87" s="149"/>
      <c r="U87" s="149"/>
      <c r="V87" s="149"/>
      <c r="W87" s="149"/>
      <c r="X87" s="149"/>
      <c r="Y87" s="149"/>
      <c r="Z87" s="149"/>
      <c r="AA87" s="149"/>
    </row>
    <row r="88" spans="1:27" ht="19.5" customHeight="1" x14ac:dyDescent="0.25">
      <c r="A88" s="143">
        <v>73</v>
      </c>
      <c r="B88" s="98" t="s">
        <v>446</v>
      </c>
      <c r="C88" s="138" t="s">
        <v>584</v>
      </c>
      <c r="D88" s="155" t="s">
        <v>585</v>
      </c>
      <c r="E88" s="146" t="s">
        <v>6</v>
      </c>
      <c r="F88" s="146">
        <v>1</v>
      </c>
      <c r="G88" s="98" t="s">
        <v>581</v>
      </c>
      <c r="H88" s="147"/>
      <c r="I88" s="154"/>
      <c r="J88" s="154"/>
      <c r="K88" s="154"/>
      <c r="L88" s="154"/>
      <c r="M88" s="154"/>
      <c r="N88" s="154"/>
      <c r="O88" s="154"/>
      <c r="P88" s="154"/>
      <c r="Q88" s="154"/>
      <c r="R88" s="160" t="s">
        <v>445</v>
      </c>
      <c r="S88" s="154"/>
      <c r="T88" s="154"/>
      <c r="U88" s="154"/>
      <c r="V88" s="154"/>
      <c r="W88" s="154"/>
      <c r="X88" s="154"/>
      <c r="Y88" s="154"/>
      <c r="Z88" s="154"/>
      <c r="AA88" s="154"/>
    </row>
    <row r="89" spans="1:27" ht="19.5" customHeight="1" x14ac:dyDescent="0.25">
      <c r="A89" s="143">
        <v>74</v>
      </c>
      <c r="B89" s="98" t="s">
        <v>446</v>
      </c>
      <c r="C89" s="138" t="s">
        <v>586</v>
      </c>
      <c r="D89" s="155" t="s">
        <v>587</v>
      </c>
      <c r="E89" s="146" t="s">
        <v>6</v>
      </c>
      <c r="F89" s="146">
        <v>1</v>
      </c>
      <c r="G89" s="98" t="s">
        <v>581</v>
      </c>
      <c r="H89" s="147"/>
      <c r="I89" s="149"/>
      <c r="J89" s="149"/>
      <c r="K89" s="149"/>
      <c r="L89" s="149"/>
      <c r="M89" s="149"/>
      <c r="N89" s="149"/>
      <c r="O89" s="149"/>
      <c r="P89" s="149"/>
      <c r="Q89" s="149"/>
      <c r="R89" s="160" t="s">
        <v>445</v>
      </c>
      <c r="S89" s="149"/>
      <c r="T89" s="149"/>
      <c r="U89" s="149"/>
      <c r="V89" s="149"/>
      <c r="W89" s="149"/>
      <c r="X89" s="149"/>
      <c r="Y89" s="149"/>
      <c r="Z89" s="149"/>
      <c r="AA89" s="149"/>
    </row>
    <row r="90" spans="1:27" ht="19.5" customHeight="1" x14ac:dyDescent="0.25">
      <c r="A90" s="143">
        <v>75</v>
      </c>
      <c r="B90" s="150" t="s">
        <v>442</v>
      </c>
      <c r="C90" s="151" t="s">
        <v>588</v>
      </c>
      <c r="D90" s="152" t="s">
        <v>589</v>
      </c>
      <c r="E90" s="146" t="s">
        <v>3</v>
      </c>
      <c r="F90" s="146">
        <v>2</v>
      </c>
      <c r="G90" s="98" t="s">
        <v>581</v>
      </c>
      <c r="H90" s="147"/>
      <c r="I90" s="154"/>
      <c r="J90" s="154"/>
      <c r="K90" s="154"/>
      <c r="L90" s="154"/>
      <c r="M90" s="154"/>
      <c r="N90" s="154"/>
      <c r="O90" s="154"/>
      <c r="P90" s="154"/>
      <c r="Q90" s="154"/>
      <c r="R90" s="160" t="s">
        <v>445</v>
      </c>
      <c r="S90" s="154"/>
      <c r="T90" s="154"/>
      <c r="U90" s="154"/>
      <c r="V90" s="154"/>
      <c r="W90" s="154"/>
      <c r="X90" s="154"/>
      <c r="Y90" s="154"/>
      <c r="Z90" s="154"/>
      <c r="AA90" s="154"/>
    </row>
    <row r="91" spans="1:27" ht="19.5" customHeight="1" x14ac:dyDescent="0.25">
      <c r="A91" s="143">
        <v>76</v>
      </c>
      <c r="B91" s="98" t="s">
        <v>446</v>
      </c>
      <c r="C91" s="138" t="s">
        <v>590</v>
      </c>
      <c r="D91" s="155" t="s">
        <v>504</v>
      </c>
      <c r="E91" s="146" t="s">
        <v>6</v>
      </c>
      <c r="F91" s="146">
        <v>1</v>
      </c>
      <c r="G91" s="98" t="s">
        <v>581</v>
      </c>
      <c r="H91" s="147"/>
      <c r="I91" s="149"/>
      <c r="J91" s="149"/>
      <c r="K91" s="149"/>
      <c r="L91" s="149"/>
      <c r="M91" s="149"/>
      <c r="N91" s="149"/>
      <c r="O91" s="149"/>
      <c r="P91" s="149"/>
      <c r="Q91" s="149"/>
      <c r="R91" s="160" t="s">
        <v>445</v>
      </c>
      <c r="S91" s="149"/>
      <c r="T91" s="149"/>
      <c r="U91" s="149"/>
      <c r="V91" s="149"/>
      <c r="W91" s="149"/>
      <c r="X91" s="149"/>
      <c r="Y91" s="149"/>
      <c r="Z91" s="149"/>
      <c r="AA91" s="149"/>
    </row>
    <row r="92" spans="1:27" ht="19.5" customHeight="1" x14ac:dyDescent="0.25">
      <c r="A92" s="143">
        <v>77</v>
      </c>
      <c r="B92" s="98" t="s">
        <v>446</v>
      </c>
      <c r="C92" s="138" t="s">
        <v>591</v>
      </c>
      <c r="D92" s="155" t="s">
        <v>592</v>
      </c>
      <c r="E92" s="146" t="s">
        <v>6</v>
      </c>
      <c r="F92" s="146">
        <v>1</v>
      </c>
      <c r="G92" s="98" t="s">
        <v>581</v>
      </c>
      <c r="H92" s="147"/>
      <c r="I92" s="154"/>
      <c r="J92" s="154"/>
      <c r="K92" s="154"/>
      <c r="L92" s="154"/>
      <c r="M92" s="154"/>
      <c r="N92" s="154"/>
      <c r="O92" s="154"/>
      <c r="P92" s="154"/>
      <c r="Q92" s="154"/>
      <c r="R92" s="160" t="s">
        <v>445</v>
      </c>
      <c r="S92" s="154"/>
      <c r="T92" s="154"/>
      <c r="U92" s="154"/>
      <c r="V92" s="154"/>
      <c r="W92" s="154"/>
      <c r="X92" s="154"/>
      <c r="Y92" s="154"/>
      <c r="Z92" s="154"/>
      <c r="AA92" s="154"/>
    </row>
    <row r="93" spans="1:27" ht="19.5" customHeight="1" x14ac:dyDescent="0.25">
      <c r="A93" s="143">
        <v>78</v>
      </c>
      <c r="B93" s="150" t="s">
        <v>442</v>
      </c>
      <c r="C93" s="151" t="s">
        <v>593</v>
      </c>
      <c r="D93" s="152" t="s">
        <v>594</v>
      </c>
      <c r="E93" s="146" t="s">
        <v>3</v>
      </c>
      <c r="F93" s="146">
        <v>2</v>
      </c>
      <c r="G93" s="98" t="s">
        <v>581</v>
      </c>
      <c r="H93" s="147"/>
      <c r="I93" s="149"/>
      <c r="J93" s="149"/>
      <c r="K93" s="149"/>
      <c r="L93" s="149"/>
      <c r="M93" s="149"/>
      <c r="N93" s="149"/>
      <c r="O93" s="149"/>
      <c r="P93" s="149"/>
      <c r="Q93" s="149"/>
      <c r="R93" s="149"/>
      <c r="S93" s="160" t="s">
        <v>445</v>
      </c>
      <c r="T93" s="149"/>
      <c r="U93" s="149"/>
      <c r="V93" s="149"/>
      <c r="W93" s="149"/>
      <c r="X93" s="149"/>
      <c r="Y93" s="149"/>
      <c r="Z93" s="149"/>
      <c r="AA93" s="149"/>
    </row>
    <row r="94" spans="1:27" ht="19.5" customHeight="1" x14ac:dyDescent="0.25">
      <c r="A94" s="143">
        <v>79</v>
      </c>
      <c r="B94" s="98" t="s">
        <v>446</v>
      </c>
      <c r="C94" s="138" t="s">
        <v>595</v>
      </c>
      <c r="D94" s="155" t="s">
        <v>596</v>
      </c>
      <c r="E94" s="146" t="s">
        <v>3</v>
      </c>
      <c r="F94" s="146">
        <v>1</v>
      </c>
      <c r="G94" s="98" t="s">
        <v>581</v>
      </c>
      <c r="H94" s="147"/>
      <c r="I94" s="154"/>
      <c r="J94" s="154"/>
      <c r="K94" s="154"/>
      <c r="L94" s="154"/>
      <c r="M94" s="154"/>
      <c r="N94" s="154"/>
      <c r="O94" s="154"/>
      <c r="P94" s="154"/>
      <c r="Q94" s="154"/>
      <c r="R94" s="154"/>
      <c r="S94" s="160" t="s">
        <v>445</v>
      </c>
      <c r="T94" s="154"/>
      <c r="U94" s="154"/>
      <c r="V94" s="154"/>
      <c r="W94" s="154"/>
      <c r="X94" s="154"/>
      <c r="Y94" s="154"/>
      <c r="Z94" s="154"/>
      <c r="AA94" s="154"/>
    </row>
    <row r="95" spans="1:27" ht="19.5" customHeight="1" x14ac:dyDescent="0.25">
      <c r="A95" s="143">
        <v>80</v>
      </c>
      <c r="B95" s="98" t="s">
        <v>446</v>
      </c>
      <c r="C95" s="138" t="s">
        <v>597</v>
      </c>
      <c r="D95" s="155" t="s">
        <v>598</v>
      </c>
      <c r="E95" s="146" t="s">
        <v>6</v>
      </c>
      <c r="F95" s="146">
        <v>1</v>
      </c>
      <c r="G95" s="98" t="s">
        <v>581</v>
      </c>
      <c r="H95" s="147"/>
      <c r="I95" s="149"/>
      <c r="J95" s="149"/>
      <c r="K95" s="149"/>
      <c r="L95" s="149"/>
      <c r="M95" s="149"/>
      <c r="N95" s="149"/>
      <c r="O95" s="149"/>
      <c r="P95" s="149"/>
      <c r="Q95" s="149"/>
      <c r="R95" s="149"/>
      <c r="S95" s="160" t="s">
        <v>445</v>
      </c>
      <c r="T95" s="149"/>
      <c r="U95" s="149"/>
      <c r="V95" s="149"/>
      <c r="W95" s="149"/>
      <c r="X95" s="149"/>
      <c r="Y95" s="149"/>
      <c r="Z95" s="149"/>
      <c r="AA95" s="149"/>
    </row>
    <row r="96" spans="1:27" ht="19.5" customHeight="1" x14ac:dyDescent="0.25">
      <c r="A96" s="143">
        <v>81</v>
      </c>
      <c r="B96" s="98" t="s">
        <v>446</v>
      </c>
      <c r="C96" s="138" t="s">
        <v>599</v>
      </c>
      <c r="D96" s="155" t="s">
        <v>600</v>
      </c>
      <c r="E96" s="146" t="s">
        <v>6</v>
      </c>
      <c r="F96" s="146">
        <v>1</v>
      </c>
      <c r="G96" s="98" t="s">
        <v>581</v>
      </c>
      <c r="H96" s="147"/>
      <c r="I96" s="154"/>
      <c r="J96" s="154"/>
      <c r="K96" s="154"/>
      <c r="L96" s="154"/>
      <c r="M96" s="154"/>
      <c r="N96" s="154"/>
      <c r="O96" s="154"/>
      <c r="P96" s="154"/>
      <c r="Q96" s="154"/>
      <c r="R96" s="154"/>
      <c r="S96" s="160" t="s">
        <v>445</v>
      </c>
      <c r="T96" s="154"/>
      <c r="U96" s="154"/>
      <c r="V96" s="154"/>
      <c r="W96" s="154"/>
      <c r="X96" s="154"/>
      <c r="Y96" s="154"/>
      <c r="Z96" s="154"/>
      <c r="AA96" s="154"/>
    </row>
    <row r="97" spans="1:27" ht="19.5" customHeight="1" x14ac:dyDescent="0.25">
      <c r="A97" s="143">
        <v>82</v>
      </c>
      <c r="B97" s="150" t="s">
        <v>442</v>
      </c>
      <c r="C97" s="151" t="s">
        <v>601</v>
      </c>
      <c r="D97" s="152" t="s">
        <v>602</v>
      </c>
      <c r="E97" s="146" t="s">
        <v>6</v>
      </c>
      <c r="F97" s="146">
        <v>2</v>
      </c>
      <c r="G97" s="98" t="s">
        <v>581</v>
      </c>
      <c r="H97" s="147"/>
      <c r="I97" s="149"/>
      <c r="J97" s="149"/>
      <c r="K97" s="149"/>
      <c r="L97" s="149"/>
      <c r="M97" s="149"/>
      <c r="N97" s="149"/>
      <c r="O97" s="149"/>
      <c r="P97" s="149"/>
      <c r="Q97" s="149"/>
      <c r="R97" s="149"/>
      <c r="S97" s="160" t="s">
        <v>445</v>
      </c>
      <c r="T97" s="149"/>
      <c r="U97" s="149"/>
      <c r="V97" s="149"/>
      <c r="W97" s="149"/>
      <c r="X97" s="149"/>
      <c r="Y97" s="149"/>
      <c r="Z97" s="149"/>
      <c r="AA97" s="149"/>
    </row>
    <row r="98" spans="1:27" ht="19.5" customHeight="1" x14ac:dyDescent="0.25">
      <c r="A98" s="143">
        <v>83</v>
      </c>
      <c r="B98" s="98" t="s">
        <v>446</v>
      </c>
      <c r="C98" s="138" t="s">
        <v>603</v>
      </c>
      <c r="D98" s="155" t="s">
        <v>604</v>
      </c>
      <c r="E98" s="146" t="s">
        <v>6</v>
      </c>
      <c r="F98" s="146">
        <v>1</v>
      </c>
      <c r="G98" s="98" t="s">
        <v>581</v>
      </c>
      <c r="H98" s="147"/>
      <c r="I98" s="154"/>
      <c r="J98" s="154"/>
      <c r="K98" s="154"/>
      <c r="L98" s="154"/>
      <c r="M98" s="154"/>
      <c r="N98" s="154"/>
      <c r="O98" s="154"/>
      <c r="P98" s="154"/>
      <c r="Q98" s="154"/>
      <c r="R98" s="154"/>
      <c r="S98" s="160" t="s">
        <v>445</v>
      </c>
      <c r="T98" s="154"/>
      <c r="U98" s="154"/>
      <c r="V98" s="154"/>
      <c r="W98" s="154"/>
      <c r="X98" s="154"/>
      <c r="Y98" s="154"/>
      <c r="Z98" s="154"/>
      <c r="AA98" s="154"/>
    </row>
    <row r="99" spans="1:27" ht="19.5" customHeight="1" x14ac:dyDescent="0.25">
      <c r="A99" s="143">
        <v>84</v>
      </c>
      <c r="B99" s="98" t="s">
        <v>446</v>
      </c>
      <c r="C99" s="138" t="s">
        <v>605</v>
      </c>
      <c r="D99" s="155" t="s">
        <v>606</v>
      </c>
      <c r="E99" s="146" t="s">
        <v>6</v>
      </c>
      <c r="F99" s="146">
        <v>1</v>
      </c>
      <c r="G99" s="98" t="s">
        <v>581</v>
      </c>
      <c r="H99" s="147"/>
      <c r="I99" s="149"/>
      <c r="J99" s="149"/>
      <c r="K99" s="149"/>
      <c r="L99" s="149"/>
      <c r="M99" s="149"/>
      <c r="N99" s="149"/>
      <c r="O99" s="149"/>
      <c r="P99" s="149"/>
      <c r="Q99" s="149"/>
      <c r="R99" s="149"/>
      <c r="S99" s="160" t="s">
        <v>445</v>
      </c>
      <c r="T99" s="149"/>
      <c r="U99" s="149"/>
      <c r="V99" s="149"/>
      <c r="W99" s="149"/>
      <c r="X99" s="149"/>
      <c r="Y99" s="149"/>
      <c r="Z99" s="149"/>
      <c r="AA99" s="149"/>
    </row>
    <row r="100" spans="1:27" ht="19.5" customHeight="1" x14ac:dyDescent="0.25">
      <c r="A100" s="143">
        <v>85</v>
      </c>
      <c r="B100" s="150" t="s">
        <v>442</v>
      </c>
      <c r="C100" s="151" t="s">
        <v>607</v>
      </c>
      <c r="D100" s="152" t="s">
        <v>608</v>
      </c>
      <c r="E100" s="146" t="s">
        <v>3</v>
      </c>
      <c r="F100" s="146">
        <v>2</v>
      </c>
      <c r="G100" s="98" t="s">
        <v>581</v>
      </c>
      <c r="H100" s="147"/>
      <c r="I100" s="154"/>
      <c r="J100" s="154"/>
      <c r="K100" s="154"/>
      <c r="L100" s="154"/>
      <c r="M100" s="154"/>
      <c r="N100" s="154"/>
      <c r="O100" s="154"/>
      <c r="P100" s="154"/>
      <c r="Q100" s="154"/>
      <c r="R100" s="154"/>
      <c r="S100" s="154"/>
      <c r="T100" s="160" t="s">
        <v>445</v>
      </c>
      <c r="U100" s="154"/>
      <c r="V100" s="154"/>
      <c r="W100" s="154"/>
      <c r="X100" s="154"/>
      <c r="Y100" s="154"/>
      <c r="Z100" s="154"/>
      <c r="AA100" s="154"/>
    </row>
    <row r="101" spans="1:27" ht="19.5" customHeight="1" x14ac:dyDescent="0.25">
      <c r="A101" s="143">
        <v>86</v>
      </c>
      <c r="B101" s="98" t="s">
        <v>446</v>
      </c>
      <c r="C101" s="138" t="s">
        <v>609</v>
      </c>
      <c r="D101" s="155" t="s">
        <v>610</v>
      </c>
      <c r="E101" s="146" t="s">
        <v>3</v>
      </c>
      <c r="F101" s="146">
        <v>1</v>
      </c>
      <c r="G101" s="98" t="s">
        <v>581</v>
      </c>
      <c r="H101" s="147"/>
      <c r="I101" s="149"/>
      <c r="J101" s="149"/>
      <c r="K101" s="149"/>
      <c r="L101" s="149"/>
      <c r="M101" s="149"/>
      <c r="N101" s="149"/>
      <c r="O101" s="149"/>
      <c r="P101" s="149"/>
      <c r="Q101" s="149"/>
      <c r="R101" s="149"/>
      <c r="S101" s="149"/>
      <c r="T101" s="160" t="s">
        <v>445</v>
      </c>
      <c r="U101" s="149"/>
      <c r="V101" s="149"/>
      <c r="W101" s="149"/>
      <c r="X101" s="149"/>
      <c r="Y101" s="149"/>
      <c r="Z101" s="149"/>
      <c r="AA101" s="149"/>
    </row>
    <row r="102" spans="1:27" ht="19.5" customHeight="1" x14ac:dyDescent="0.25">
      <c r="A102" s="143">
        <v>87</v>
      </c>
      <c r="B102" s="98" t="s">
        <v>446</v>
      </c>
      <c r="C102" s="138" t="s">
        <v>611</v>
      </c>
      <c r="D102" s="155" t="s">
        <v>612</v>
      </c>
      <c r="E102" s="146" t="s">
        <v>6</v>
      </c>
      <c r="F102" s="146">
        <v>1</v>
      </c>
      <c r="G102" s="98" t="s">
        <v>581</v>
      </c>
      <c r="H102" s="147"/>
      <c r="I102" s="154"/>
      <c r="J102" s="154"/>
      <c r="K102" s="154"/>
      <c r="L102" s="154"/>
      <c r="M102" s="154"/>
      <c r="N102" s="154"/>
      <c r="O102" s="154"/>
      <c r="P102" s="154"/>
      <c r="Q102" s="154"/>
      <c r="R102" s="154"/>
      <c r="S102" s="154"/>
      <c r="T102" s="160" t="s">
        <v>445</v>
      </c>
      <c r="U102" s="154"/>
      <c r="V102" s="154"/>
      <c r="W102" s="154"/>
      <c r="X102" s="154"/>
      <c r="Y102" s="154"/>
      <c r="Z102" s="154"/>
      <c r="AA102" s="154"/>
    </row>
    <row r="103" spans="1:27" ht="19.5" customHeight="1" x14ac:dyDescent="0.25">
      <c r="A103" s="143">
        <v>88</v>
      </c>
      <c r="B103" s="98" t="s">
        <v>446</v>
      </c>
      <c r="C103" s="138" t="s">
        <v>613</v>
      </c>
      <c r="D103" s="155" t="s">
        <v>614</v>
      </c>
      <c r="E103" s="146" t="s">
        <v>6</v>
      </c>
      <c r="F103" s="146">
        <v>1</v>
      </c>
      <c r="G103" s="98" t="s">
        <v>581</v>
      </c>
      <c r="H103" s="147"/>
      <c r="I103" s="149"/>
      <c r="J103" s="149"/>
      <c r="K103" s="149"/>
      <c r="L103" s="149"/>
      <c r="M103" s="149"/>
      <c r="N103" s="149"/>
      <c r="O103" s="149"/>
      <c r="P103" s="149"/>
      <c r="Q103" s="149"/>
      <c r="R103" s="149"/>
      <c r="S103" s="149"/>
      <c r="T103" s="160" t="s">
        <v>445</v>
      </c>
      <c r="U103" s="149"/>
      <c r="V103" s="149"/>
      <c r="W103" s="149"/>
      <c r="X103" s="149"/>
      <c r="Y103" s="149"/>
      <c r="Z103" s="149"/>
      <c r="AA103" s="149"/>
    </row>
    <row r="104" spans="1:27" ht="19.5" customHeight="1" x14ac:dyDescent="0.25">
      <c r="A104" s="143">
        <v>89</v>
      </c>
      <c r="B104" s="150" t="s">
        <v>442</v>
      </c>
      <c r="C104" s="151" t="s">
        <v>615</v>
      </c>
      <c r="D104" s="152" t="s">
        <v>616</v>
      </c>
      <c r="E104" s="146" t="s">
        <v>9</v>
      </c>
      <c r="F104" s="146">
        <v>2</v>
      </c>
      <c r="G104" s="98" t="s">
        <v>581</v>
      </c>
      <c r="H104" s="147"/>
      <c r="I104" s="154"/>
      <c r="J104" s="154"/>
      <c r="K104" s="154"/>
      <c r="L104" s="154"/>
      <c r="M104" s="154"/>
      <c r="N104" s="154"/>
      <c r="O104" s="154"/>
      <c r="P104" s="154"/>
      <c r="Q104" s="154"/>
      <c r="R104" s="154"/>
      <c r="S104" s="154"/>
      <c r="T104" s="160" t="s">
        <v>445</v>
      </c>
      <c r="U104" s="154"/>
      <c r="V104" s="154"/>
      <c r="W104" s="154"/>
      <c r="X104" s="154"/>
      <c r="Y104" s="154"/>
      <c r="Z104" s="154"/>
      <c r="AA104" s="154"/>
    </row>
    <row r="105" spans="1:27" ht="19.5" customHeight="1" x14ac:dyDescent="0.25">
      <c r="A105" s="143">
        <v>90</v>
      </c>
      <c r="B105" s="98" t="s">
        <v>446</v>
      </c>
      <c r="C105" s="138" t="s">
        <v>617</v>
      </c>
      <c r="D105" s="155" t="s">
        <v>618</v>
      </c>
      <c r="E105" s="146" t="s">
        <v>6</v>
      </c>
      <c r="F105" s="146">
        <v>1</v>
      </c>
      <c r="G105" s="98" t="s">
        <v>581</v>
      </c>
      <c r="H105" s="147"/>
      <c r="I105" s="149"/>
      <c r="J105" s="149"/>
      <c r="K105" s="149"/>
      <c r="L105" s="149"/>
      <c r="M105" s="149"/>
      <c r="N105" s="149"/>
      <c r="O105" s="149"/>
      <c r="P105" s="149"/>
      <c r="Q105" s="149"/>
      <c r="R105" s="149"/>
      <c r="S105" s="149"/>
      <c r="T105" s="160" t="s">
        <v>445</v>
      </c>
      <c r="U105" s="149"/>
      <c r="V105" s="149"/>
      <c r="W105" s="149"/>
      <c r="X105" s="149"/>
      <c r="Y105" s="149"/>
      <c r="Z105" s="149"/>
      <c r="AA105" s="149"/>
    </row>
    <row r="106" spans="1:27" ht="19.5" customHeight="1" x14ac:dyDescent="0.25">
      <c r="A106" s="143">
        <v>91</v>
      </c>
      <c r="B106" s="98" t="s">
        <v>446</v>
      </c>
      <c r="C106" s="138" t="s">
        <v>619</v>
      </c>
      <c r="D106" s="155" t="s">
        <v>620</v>
      </c>
      <c r="E106" s="146" t="s">
        <v>6</v>
      </c>
      <c r="F106" s="146">
        <v>1</v>
      </c>
      <c r="G106" s="98" t="s">
        <v>581</v>
      </c>
      <c r="H106" s="147"/>
      <c r="I106" s="154"/>
      <c r="J106" s="154"/>
      <c r="K106" s="154"/>
      <c r="L106" s="154"/>
      <c r="M106" s="154"/>
      <c r="N106" s="154"/>
      <c r="O106" s="154"/>
      <c r="P106" s="154"/>
      <c r="Q106" s="154"/>
      <c r="R106" s="154"/>
      <c r="S106" s="154"/>
      <c r="T106" s="160" t="s">
        <v>445</v>
      </c>
      <c r="U106" s="154"/>
      <c r="V106" s="154"/>
      <c r="W106" s="154"/>
      <c r="X106" s="154"/>
      <c r="Y106" s="154"/>
      <c r="Z106" s="154"/>
      <c r="AA106" s="154"/>
    </row>
    <row r="107" spans="1:27" ht="19.5" customHeight="1" x14ac:dyDescent="0.25">
      <c r="A107" s="143">
        <v>92</v>
      </c>
      <c r="B107" s="98" t="s">
        <v>446</v>
      </c>
      <c r="C107" s="138" t="s">
        <v>621</v>
      </c>
      <c r="D107" s="155" t="s">
        <v>622</v>
      </c>
      <c r="E107" s="146" t="s">
        <v>6</v>
      </c>
      <c r="F107" s="146">
        <v>1</v>
      </c>
      <c r="G107" s="98" t="s">
        <v>581</v>
      </c>
      <c r="H107" s="147"/>
      <c r="I107" s="149"/>
      <c r="J107" s="149"/>
      <c r="K107" s="149"/>
      <c r="L107" s="149"/>
      <c r="M107" s="149"/>
      <c r="N107" s="149"/>
      <c r="O107" s="149"/>
      <c r="P107" s="149"/>
      <c r="Q107" s="149"/>
      <c r="R107" s="149"/>
      <c r="S107" s="149"/>
      <c r="T107" s="160" t="s">
        <v>445</v>
      </c>
      <c r="U107" s="149"/>
      <c r="V107" s="149"/>
      <c r="W107" s="149"/>
      <c r="X107" s="149"/>
      <c r="Y107" s="149"/>
      <c r="Z107" s="149"/>
      <c r="AA107" s="149"/>
    </row>
    <row r="108" spans="1:27" ht="19.5" customHeight="1" x14ac:dyDescent="0.25">
      <c r="A108" s="143">
        <v>93</v>
      </c>
      <c r="B108" s="150" t="s">
        <v>442</v>
      </c>
      <c r="C108" s="151" t="s">
        <v>623</v>
      </c>
      <c r="D108" s="152" t="s">
        <v>624</v>
      </c>
      <c r="E108" s="146" t="s">
        <v>6</v>
      </c>
      <c r="F108" s="146">
        <v>2</v>
      </c>
      <c r="G108" s="98" t="s">
        <v>581</v>
      </c>
      <c r="H108" s="147"/>
      <c r="I108" s="154"/>
      <c r="J108" s="154"/>
      <c r="K108" s="154"/>
      <c r="L108" s="154"/>
      <c r="M108" s="154"/>
      <c r="N108" s="154"/>
      <c r="O108" s="154"/>
      <c r="P108" s="154"/>
      <c r="Q108" s="154"/>
      <c r="R108" s="154"/>
      <c r="S108" s="154"/>
      <c r="T108" s="160" t="s">
        <v>445</v>
      </c>
      <c r="U108" s="154"/>
      <c r="V108" s="154"/>
      <c r="W108" s="154"/>
      <c r="X108" s="154"/>
      <c r="Y108" s="154"/>
      <c r="Z108" s="154"/>
      <c r="AA108" s="154"/>
    </row>
    <row r="109" spans="1:27" ht="19.5" customHeight="1" x14ac:dyDescent="0.25">
      <c r="A109" s="143">
        <v>94</v>
      </c>
      <c r="B109" s="98" t="s">
        <v>446</v>
      </c>
      <c r="C109" s="138" t="s">
        <v>625</v>
      </c>
      <c r="D109" s="155" t="s">
        <v>626</v>
      </c>
      <c r="E109" s="146" t="s">
        <v>6</v>
      </c>
      <c r="F109" s="146">
        <v>1</v>
      </c>
      <c r="G109" s="98" t="s">
        <v>581</v>
      </c>
      <c r="H109" s="147"/>
      <c r="I109" s="149"/>
      <c r="J109" s="149"/>
      <c r="K109" s="149"/>
      <c r="L109" s="149"/>
      <c r="M109" s="149"/>
      <c r="N109" s="149"/>
      <c r="O109" s="149"/>
      <c r="P109" s="149"/>
      <c r="Q109" s="149"/>
      <c r="R109" s="149"/>
      <c r="S109" s="149"/>
      <c r="T109" s="160" t="s">
        <v>445</v>
      </c>
      <c r="U109" s="149"/>
      <c r="V109" s="149"/>
      <c r="W109" s="149"/>
      <c r="X109" s="149"/>
      <c r="Y109" s="149"/>
      <c r="Z109" s="149"/>
      <c r="AA109" s="149"/>
    </row>
    <row r="110" spans="1:27" ht="19.5" customHeight="1" x14ac:dyDescent="0.25">
      <c r="A110" s="143">
        <v>95</v>
      </c>
      <c r="B110" s="98" t="s">
        <v>446</v>
      </c>
      <c r="C110" s="138" t="s">
        <v>627</v>
      </c>
      <c r="D110" s="155" t="s">
        <v>628</v>
      </c>
      <c r="E110" s="146" t="s">
        <v>6</v>
      </c>
      <c r="F110" s="146">
        <v>1</v>
      </c>
      <c r="G110" s="98" t="s">
        <v>581</v>
      </c>
      <c r="H110" s="147"/>
      <c r="I110" s="154"/>
      <c r="J110" s="154"/>
      <c r="K110" s="154"/>
      <c r="L110" s="154"/>
      <c r="M110" s="154"/>
      <c r="N110" s="154"/>
      <c r="O110" s="154"/>
      <c r="P110" s="154"/>
      <c r="Q110" s="154"/>
      <c r="R110" s="154"/>
      <c r="S110" s="154"/>
      <c r="T110" s="160" t="s">
        <v>445</v>
      </c>
      <c r="U110" s="154"/>
      <c r="V110" s="154"/>
      <c r="W110" s="154"/>
      <c r="X110" s="154"/>
      <c r="Y110" s="154"/>
      <c r="Z110" s="154"/>
      <c r="AA110" s="154"/>
    </row>
    <row r="111" spans="1:27" ht="19.5" customHeight="1" x14ac:dyDescent="0.25">
      <c r="A111" s="143">
        <v>96</v>
      </c>
      <c r="B111" s="156" t="s">
        <v>376</v>
      </c>
      <c r="C111" s="157" t="s">
        <v>629</v>
      </c>
      <c r="D111" s="158" t="s">
        <v>630</v>
      </c>
      <c r="E111" s="146" t="s">
        <v>133</v>
      </c>
      <c r="F111" s="146">
        <v>0.5</v>
      </c>
      <c r="G111" s="98" t="s">
        <v>581</v>
      </c>
      <c r="H111" s="147"/>
      <c r="I111" s="149"/>
      <c r="J111" s="149"/>
      <c r="K111" s="149"/>
      <c r="L111" s="149"/>
      <c r="M111" s="149"/>
      <c r="N111" s="149"/>
      <c r="O111" s="149"/>
      <c r="P111" s="149"/>
      <c r="Q111" s="149"/>
      <c r="R111" s="149"/>
      <c r="S111" s="149"/>
      <c r="T111" s="159" t="s">
        <v>144</v>
      </c>
      <c r="U111" s="149"/>
      <c r="V111" s="149"/>
      <c r="W111" s="149"/>
      <c r="X111" s="149"/>
      <c r="Y111" s="149"/>
      <c r="Z111" s="149"/>
      <c r="AA111" s="149"/>
    </row>
    <row r="112" spans="1:27" ht="19.5" customHeight="1" x14ac:dyDescent="0.25">
      <c r="A112" s="143">
        <v>97</v>
      </c>
      <c r="B112" s="156" t="s">
        <v>376</v>
      </c>
      <c r="C112" s="157" t="s">
        <v>631</v>
      </c>
      <c r="D112" s="158" t="s">
        <v>632</v>
      </c>
      <c r="E112" s="146" t="s">
        <v>133</v>
      </c>
      <c r="F112" s="146">
        <v>0.5</v>
      </c>
      <c r="G112" s="98" t="s">
        <v>581</v>
      </c>
      <c r="H112" s="147"/>
      <c r="I112" s="154"/>
      <c r="J112" s="154"/>
      <c r="K112" s="154"/>
      <c r="L112" s="154"/>
      <c r="M112" s="154"/>
      <c r="N112" s="154"/>
      <c r="O112" s="154"/>
      <c r="P112" s="154"/>
      <c r="Q112" s="154"/>
      <c r="R112" s="154"/>
      <c r="S112" s="154"/>
      <c r="T112" s="159" t="s">
        <v>144</v>
      </c>
      <c r="U112" s="154"/>
      <c r="V112" s="154"/>
      <c r="W112" s="154"/>
      <c r="X112" s="154"/>
      <c r="Y112" s="154"/>
      <c r="Z112" s="154"/>
      <c r="AA112" s="154"/>
    </row>
    <row r="113" spans="1:27" ht="19.5" customHeight="1" x14ac:dyDescent="0.25">
      <c r="A113" s="143">
        <v>98</v>
      </c>
      <c r="B113" s="156" t="s">
        <v>376</v>
      </c>
      <c r="C113" s="157" t="s">
        <v>633</v>
      </c>
      <c r="D113" s="158" t="s">
        <v>634</v>
      </c>
      <c r="E113" s="146" t="s">
        <v>133</v>
      </c>
      <c r="F113" s="146">
        <v>0.5</v>
      </c>
      <c r="G113" s="98" t="s">
        <v>581</v>
      </c>
      <c r="H113" s="147"/>
      <c r="I113" s="149"/>
      <c r="J113" s="149"/>
      <c r="K113" s="149"/>
      <c r="L113" s="149"/>
      <c r="M113" s="149"/>
      <c r="N113" s="149"/>
      <c r="O113" s="149"/>
      <c r="P113" s="149"/>
      <c r="Q113" s="149"/>
      <c r="R113" s="149"/>
      <c r="S113" s="149"/>
      <c r="T113" s="159" t="s">
        <v>144</v>
      </c>
      <c r="U113" s="149"/>
      <c r="V113" s="149"/>
      <c r="W113" s="149"/>
      <c r="X113" s="149"/>
      <c r="Y113" s="149"/>
      <c r="Z113" s="149"/>
      <c r="AA113" s="149"/>
    </row>
    <row r="115" spans="1:27" ht="24" customHeight="1" x14ac:dyDescent="0.25">
      <c r="A115" s="219" t="s">
        <v>635</v>
      </c>
      <c r="B115" s="219"/>
      <c r="C115" s="219"/>
      <c r="D115" s="219"/>
      <c r="E115" s="219"/>
      <c r="F115" s="219"/>
      <c r="G115" s="219"/>
      <c r="H115" s="219"/>
      <c r="I115" s="141"/>
      <c r="J115" s="141"/>
      <c r="K115" s="141"/>
      <c r="L115" s="141"/>
      <c r="M115" s="141"/>
      <c r="N115" s="141"/>
      <c r="O115" s="141"/>
      <c r="P115" s="141"/>
      <c r="Q115" s="141"/>
      <c r="R115" s="141"/>
      <c r="S115" s="141"/>
      <c r="T115" s="141"/>
      <c r="U115" s="141"/>
      <c r="V115" s="141"/>
      <c r="W115" s="141"/>
      <c r="X115" s="141"/>
      <c r="Y115" s="141"/>
      <c r="Z115" s="141"/>
      <c r="AA115" s="141"/>
    </row>
    <row r="116" spans="1:27" ht="19.5" customHeight="1" x14ac:dyDescent="0.25">
      <c r="A116" s="220" t="s">
        <v>636</v>
      </c>
      <c r="B116" s="220"/>
      <c r="C116" s="220"/>
      <c r="D116" s="220"/>
      <c r="E116" s="220"/>
      <c r="F116" s="220"/>
      <c r="G116" s="220"/>
      <c r="H116" s="220"/>
      <c r="I116" s="142"/>
      <c r="J116" s="142"/>
      <c r="K116" s="142"/>
      <c r="L116" s="142"/>
      <c r="M116" s="142"/>
      <c r="N116" s="142"/>
      <c r="O116" s="142"/>
      <c r="P116" s="142"/>
      <c r="Q116" s="142"/>
      <c r="R116" s="142"/>
      <c r="S116" s="142"/>
      <c r="T116" s="142"/>
      <c r="U116" s="142"/>
      <c r="V116" s="142"/>
      <c r="W116" s="142"/>
      <c r="X116" s="142"/>
      <c r="Y116" s="142"/>
      <c r="Z116" s="142"/>
      <c r="AA116" s="142"/>
    </row>
    <row r="117" spans="1:27" ht="24" customHeight="1" x14ac:dyDescent="0.25">
      <c r="A117" s="143">
        <v>99</v>
      </c>
      <c r="B117" s="144" t="s">
        <v>308</v>
      </c>
      <c r="C117" s="64" t="s">
        <v>337</v>
      </c>
      <c r="D117" s="145" t="s">
        <v>338</v>
      </c>
      <c r="E117" s="146" t="s">
        <v>133</v>
      </c>
      <c r="F117" s="146">
        <v>1</v>
      </c>
      <c r="G117" s="98" t="s">
        <v>637</v>
      </c>
      <c r="H117" s="147"/>
      <c r="I117" s="149"/>
      <c r="J117" s="149"/>
      <c r="K117" s="149"/>
      <c r="L117" s="149"/>
      <c r="M117" s="149"/>
      <c r="N117" s="149"/>
      <c r="O117" s="149"/>
      <c r="P117" s="149"/>
      <c r="Q117" s="149"/>
      <c r="R117" s="149"/>
      <c r="S117" s="149"/>
      <c r="T117" s="149"/>
      <c r="U117" s="148" t="s">
        <v>441</v>
      </c>
      <c r="V117" s="148" t="s">
        <v>441</v>
      </c>
      <c r="W117" s="148" t="s">
        <v>441</v>
      </c>
      <c r="X117" s="149"/>
      <c r="Y117" s="149"/>
      <c r="Z117" s="149"/>
      <c r="AA117" s="149"/>
    </row>
    <row r="118" spans="1:27" ht="19.5" customHeight="1" x14ac:dyDescent="0.25">
      <c r="A118" s="143">
        <v>100</v>
      </c>
      <c r="B118" s="150" t="s">
        <v>442</v>
      </c>
      <c r="C118" s="151" t="s">
        <v>638</v>
      </c>
      <c r="D118" s="152" t="s">
        <v>639</v>
      </c>
      <c r="E118" s="146" t="s">
        <v>9</v>
      </c>
      <c r="F118" s="146">
        <v>3</v>
      </c>
      <c r="G118" s="98" t="s">
        <v>637</v>
      </c>
      <c r="H118" s="147"/>
      <c r="I118" s="154"/>
      <c r="J118" s="154"/>
      <c r="K118" s="154"/>
      <c r="L118" s="154"/>
      <c r="M118" s="154"/>
      <c r="N118" s="154"/>
      <c r="O118" s="154"/>
      <c r="P118" s="154"/>
      <c r="Q118" s="154"/>
      <c r="R118" s="154"/>
      <c r="S118" s="154"/>
      <c r="T118" s="154"/>
      <c r="U118" s="153" t="s">
        <v>445</v>
      </c>
      <c r="V118" s="154"/>
      <c r="W118" s="154"/>
      <c r="X118" s="154"/>
      <c r="Y118" s="154"/>
      <c r="Z118" s="154"/>
      <c r="AA118" s="154"/>
    </row>
    <row r="119" spans="1:27" ht="19.5" customHeight="1" x14ac:dyDescent="0.25">
      <c r="A119" s="143">
        <v>101</v>
      </c>
      <c r="B119" s="98" t="s">
        <v>446</v>
      </c>
      <c r="C119" s="138" t="s">
        <v>640</v>
      </c>
      <c r="D119" s="155" t="s">
        <v>553</v>
      </c>
      <c r="E119" s="146" t="s">
        <v>6</v>
      </c>
      <c r="F119" s="146">
        <v>1</v>
      </c>
      <c r="G119" s="98" t="s">
        <v>637</v>
      </c>
      <c r="H119" s="147"/>
      <c r="I119" s="149"/>
      <c r="J119" s="149"/>
      <c r="K119" s="149"/>
      <c r="L119" s="149"/>
      <c r="M119" s="149"/>
      <c r="N119" s="149"/>
      <c r="O119" s="149"/>
      <c r="P119" s="149"/>
      <c r="Q119" s="149"/>
      <c r="R119" s="149"/>
      <c r="S119" s="149"/>
      <c r="T119" s="149"/>
      <c r="U119" s="153" t="s">
        <v>445</v>
      </c>
      <c r="V119" s="149"/>
      <c r="W119" s="149"/>
      <c r="X119" s="149"/>
      <c r="Y119" s="149"/>
      <c r="Z119" s="149"/>
      <c r="AA119" s="149"/>
    </row>
    <row r="120" spans="1:27" ht="19.5" customHeight="1" x14ac:dyDescent="0.25">
      <c r="A120" s="143">
        <v>102</v>
      </c>
      <c r="B120" s="98" t="s">
        <v>446</v>
      </c>
      <c r="C120" s="138" t="s">
        <v>641</v>
      </c>
      <c r="D120" s="155" t="s">
        <v>642</v>
      </c>
      <c r="E120" s="146" t="s">
        <v>9</v>
      </c>
      <c r="F120" s="146">
        <v>1</v>
      </c>
      <c r="G120" s="98" t="s">
        <v>637</v>
      </c>
      <c r="H120" s="147"/>
      <c r="I120" s="154"/>
      <c r="J120" s="154"/>
      <c r="K120" s="154"/>
      <c r="L120" s="154"/>
      <c r="M120" s="154"/>
      <c r="N120" s="154"/>
      <c r="O120" s="154"/>
      <c r="P120" s="154"/>
      <c r="Q120" s="154"/>
      <c r="R120" s="154"/>
      <c r="S120" s="154"/>
      <c r="T120" s="154"/>
      <c r="U120" s="153" t="s">
        <v>445</v>
      </c>
      <c r="V120" s="154"/>
      <c r="W120" s="154"/>
      <c r="X120" s="154"/>
      <c r="Y120" s="154"/>
      <c r="Z120" s="154"/>
      <c r="AA120" s="154"/>
    </row>
    <row r="121" spans="1:27" ht="19.5" customHeight="1" x14ac:dyDescent="0.25">
      <c r="A121" s="143">
        <v>103</v>
      </c>
      <c r="B121" s="150" t="s">
        <v>442</v>
      </c>
      <c r="C121" s="151" t="s">
        <v>643</v>
      </c>
      <c r="D121" s="152" t="s">
        <v>644</v>
      </c>
      <c r="E121" s="146" t="s">
        <v>9</v>
      </c>
      <c r="F121" s="146">
        <v>2</v>
      </c>
      <c r="G121" s="98" t="s">
        <v>637</v>
      </c>
      <c r="H121" s="147"/>
      <c r="I121" s="149"/>
      <c r="J121" s="149"/>
      <c r="K121" s="149"/>
      <c r="L121" s="149"/>
      <c r="M121" s="149"/>
      <c r="N121" s="149"/>
      <c r="O121" s="149"/>
      <c r="P121" s="149"/>
      <c r="Q121" s="149"/>
      <c r="R121" s="149"/>
      <c r="S121" s="149"/>
      <c r="T121" s="149"/>
      <c r="U121" s="153" t="s">
        <v>445</v>
      </c>
      <c r="V121" s="149"/>
      <c r="W121" s="149"/>
      <c r="X121" s="149"/>
      <c r="Y121" s="149"/>
      <c r="Z121" s="149"/>
      <c r="AA121" s="149"/>
    </row>
    <row r="122" spans="1:27" ht="19.5" customHeight="1" x14ac:dyDescent="0.25">
      <c r="A122" s="143">
        <v>104</v>
      </c>
      <c r="B122" s="98" t="s">
        <v>446</v>
      </c>
      <c r="C122" s="138" t="s">
        <v>645</v>
      </c>
      <c r="D122" s="155" t="s">
        <v>646</v>
      </c>
      <c r="E122" s="146" t="s">
        <v>6</v>
      </c>
      <c r="F122" s="146">
        <v>1</v>
      </c>
      <c r="G122" s="98" t="s">
        <v>637</v>
      </c>
      <c r="H122" s="147"/>
      <c r="I122" s="154"/>
      <c r="J122" s="154"/>
      <c r="K122" s="154"/>
      <c r="L122" s="154"/>
      <c r="M122" s="154"/>
      <c r="N122" s="154"/>
      <c r="O122" s="154"/>
      <c r="P122" s="154"/>
      <c r="Q122" s="154"/>
      <c r="R122" s="154"/>
      <c r="S122" s="154"/>
      <c r="T122" s="154"/>
      <c r="U122" s="153" t="s">
        <v>445</v>
      </c>
      <c r="V122" s="154"/>
      <c r="W122" s="154"/>
      <c r="X122" s="154"/>
      <c r="Y122" s="154"/>
      <c r="Z122" s="154"/>
      <c r="AA122" s="154"/>
    </row>
    <row r="123" spans="1:27" ht="19.5" customHeight="1" x14ac:dyDescent="0.25">
      <c r="A123" s="143">
        <v>105</v>
      </c>
      <c r="B123" s="150" t="s">
        <v>442</v>
      </c>
      <c r="C123" s="151" t="s">
        <v>647</v>
      </c>
      <c r="D123" s="152" t="s">
        <v>648</v>
      </c>
      <c r="E123" s="146" t="s">
        <v>9</v>
      </c>
      <c r="F123" s="146">
        <v>2</v>
      </c>
      <c r="G123" s="98" t="s">
        <v>637</v>
      </c>
      <c r="H123" s="147"/>
      <c r="I123" s="149"/>
      <c r="J123" s="149"/>
      <c r="K123" s="149"/>
      <c r="L123" s="149"/>
      <c r="M123" s="149"/>
      <c r="N123" s="149"/>
      <c r="O123" s="149"/>
      <c r="P123" s="149"/>
      <c r="Q123" s="149"/>
      <c r="R123" s="149"/>
      <c r="S123" s="149"/>
      <c r="T123" s="149"/>
      <c r="U123" s="149"/>
      <c r="V123" s="153" t="s">
        <v>445</v>
      </c>
      <c r="W123" s="149"/>
      <c r="X123" s="149"/>
      <c r="Y123" s="149"/>
      <c r="Z123" s="149"/>
      <c r="AA123" s="149"/>
    </row>
    <row r="124" spans="1:27" ht="19.5" customHeight="1" x14ac:dyDescent="0.25">
      <c r="A124" s="143">
        <v>106</v>
      </c>
      <c r="B124" s="98" t="s">
        <v>446</v>
      </c>
      <c r="C124" s="138" t="s">
        <v>649</v>
      </c>
      <c r="D124" s="155" t="s">
        <v>504</v>
      </c>
      <c r="E124" s="146" t="s">
        <v>6</v>
      </c>
      <c r="F124" s="146">
        <v>1</v>
      </c>
      <c r="G124" s="98" t="s">
        <v>637</v>
      </c>
      <c r="H124" s="147"/>
      <c r="I124" s="154"/>
      <c r="J124" s="154"/>
      <c r="K124" s="154"/>
      <c r="L124" s="154"/>
      <c r="M124" s="154"/>
      <c r="N124" s="154"/>
      <c r="O124" s="154"/>
      <c r="P124" s="154"/>
      <c r="Q124" s="154"/>
      <c r="R124" s="154"/>
      <c r="S124" s="154"/>
      <c r="T124" s="154"/>
      <c r="U124" s="154"/>
      <c r="V124" s="153" t="s">
        <v>445</v>
      </c>
      <c r="W124" s="154"/>
      <c r="X124" s="154"/>
      <c r="Y124" s="154"/>
      <c r="Z124" s="154"/>
      <c r="AA124" s="154"/>
    </row>
    <row r="125" spans="1:27" ht="19.5" customHeight="1" x14ac:dyDescent="0.25">
      <c r="A125" s="143">
        <v>107</v>
      </c>
      <c r="B125" s="98" t="s">
        <v>446</v>
      </c>
      <c r="C125" s="138" t="s">
        <v>650</v>
      </c>
      <c r="D125" s="155" t="s">
        <v>651</v>
      </c>
      <c r="E125" s="146" t="s">
        <v>9</v>
      </c>
      <c r="F125" s="146">
        <v>1</v>
      </c>
      <c r="G125" s="98" t="s">
        <v>637</v>
      </c>
      <c r="H125" s="147"/>
      <c r="I125" s="149"/>
      <c r="J125" s="149"/>
      <c r="K125" s="149"/>
      <c r="L125" s="149"/>
      <c r="M125" s="149"/>
      <c r="N125" s="149"/>
      <c r="O125" s="149"/>
      <c r="P125" s="149"/>
      <c r="Q125" s="149"/>
      <c r="R125" s="149"/>
      <c r="S125" s="149"/>
      <c r="T125" s="149"/>
      <c r="U125" s="149"/>
      <c r="V125" s="153" t="s">
        <v>445</v>
      </c>
      <c r="W125" s="149"/>
      <c r="X125" s="149"/>
      <c r="Y125" s="149"/>
      <c r="Z125" s="149"/>
      <c r="AA125" s="149"/>
    </row>
    <row r="126" spans="1:27" ht="19.5" customHeight="1" x14ac:dyDescent="0.25">
      <c r="A126" s="143">
        <v>108</v>
      </c>
      <c r="B126" s="150" t="s">
        <v>442</v>
      </c>
      <c r="C126" s="151" t="s">
        <v>652</v>
      </c>
      <c r="D126" s="152" t="s">
        <v>653</v>
      </c>
      <c r="E126" s="146" t="s">
        <v>9</v>
      </c>
      <c r="F126" s="146">
        <v>2</v>
      </c>
      <c r="G126" s="98" t="s">
        <v>637</v>
      </c>
      <c r="H126" s="147"/>
      <c r="I126" s="154"/>
      <c r="J126" s="154"/>
      <c r="K126" s="154"/>
      <c r="L126" s="154"/>
      <c r="M126" s="154"/>
      <c r="N126" s="154"/>
      <c r="O126" s="154"/>
      <c r="P126" s="154"/>
      <c r="Q126" s="154"/>
      <c r="R126" s="154"/>
      <c r="S126" s="154"/>
      <c r="T126" s="154"/>
      <c r="U126" s="154"/>
      <c r="V126" s="153" t="s">
        <v>445</v>
      </c>
      <c r="W126" s="154"/>
      <c r="X126" s="154"/>
      <c r="Y126" s="154"/>
      <c r="Z126" s="154"/>
      <c r="AA126" s="154"/>
    </row>
    <row r="127" spans="1:27" ht="19.5" customHeight="1" x14ac:dyDescent="0.25">
      <c r="A127" s="143">
        <v>109</v>
      </c>
      <c r="B127" s="98" t="s">
        <v>446</v>
      </c>
      <c r="C127" s="138" t="s">
        <v>654</v>
      </c>
      <c r="D127" s="155" t="s">
        <v>646</v>
      </c>
      <c r="E127" s="146" t="s">
        <v>6</v>
      </c>
      <c r="F127" s="146">
        <v>1</v>
      </c>
      <c r="G127" s="98" t="s">
        <v>637</v>
      </c>
      <c r="H127" s="147"/>
      <c r="I127" s="149"/>
      <c r="J127" s="149"/>
      <c r="K127" s="149"/>
      <c r="L127" s="149"/>
      <c r="M127" s="149"/>
      <c r="N127" s="149"/>
      <c r="O127" s="149"/>
      <c r="P127" s="149"/>
      <c r="Q127" s="149"/>
      <c r="R127" s="149"/>
      <c r="S127" s="149"/>
      <c r="T127" s="149"/>
      <c r="U127" s="149"/>
      <c r="V127" s="153" t="s">
        <v>445</v>
      </c>
      <c r="W127" s="149"/>
      <c r="X127" s="149"/>
      <c r="Y127" s="149"/>
      <c r="Z127" s="149"/>
      <c r="AA127" s="149"/>
    </row>
    <row r="128" spans="1:27" ht="19.5" customHeight="1" x14ac:dyDescent="0.25">
      <c r="A128" s="143">
        <v>110</v>
      </c>
      <c r="B128" s="150" t="s">
        <v>442</v>
      </c>
      <c r="C128" s="151" t="s">
        <v>655</v>
      </c>
      <c r="D128" s="152" t="s">
        <v>656</v>
      </c>
      <c r="E128" s="146" t="s">
        <v>9</v>
      </c>
      <c r="F128" s="146">
        <v>3</v>
      </c>
      <c r="G128" s="98" t="s">
        <v>637</v>
      </c>
      <c r="H128" s="147"/>
      <c r="I128" s="154"/>
      <c r="J128" s="154"/>
      <c r="K128" s="154"/>
      <c r="L128" s="154"/>
      <c r="M128" s="154"/>
      <c r="N128" s="154"/>
      <c r="O128" s="154"/>
      <c r="P128" s="154"/>
      <c r="Q128" s="154"/>
      <c r="R128" s="154"/>
      <c r="S128" s="154"/>
      <c r="T128" s="154"/>
      <c r="U128" s="154"/>
      <c r="V128" s="154"/>
      <c r="W128" s="153" t="s">
        <v>445</v>
      </c>
      <c r="X128" s="154"/>
      <c r="Y128" s="154"/>
      <c r="Z128" s="154"/>
      <c r="AA128" s="154"/>
    </row>
    <row r="129" spans="1:27" ht="19.5" customHeight="1" x14ac:dyDescent="0.25">
      <c r="A129" s="143">
        <v>111</v>
      </c>
      <c r="B129" s="98" t="s">
        <v>446</v>
      </c>
      <c r="C129" s="138" t="s">
        <v>657</v>
      </c>
      <c r="D129" s="155" t="s">
        <v>658</v>
      </c>
      <c r="E129" s="146" t="s">
        <v>6</v>
      </c>
      <c r="F129" s="146">
        <v>1</v>
      </c>
      <c r="G129" s="98" t="s">
        <v>637</v>
      </c>
      <c r="H129" s="147"/>
      <c r="I129" s="149"/>
      <c r="J129" s="149"/>
      <c r="K129" s="149"/>
      <c r="L129" s="149"/>
      <c r="M129" s="149"/>
      <c r="N129" s="149"/>
      <c r="O129" s="149"/>
      <c r="P129" s="149"/>
      <c r="Q129" s="149"/>
      <c r="R129" s="149"/>
      <c r="S129" s="149"/>
      <c r="T129" s="149"/>
      <c r="U129" s="149"/>
      <c r="V129" s="149"/>
      <c r="W129" s="153" t="s">
        <v>445</v>
      </c>
      <c r="X129" s="149"/>
      <c r="Y129" s="149"/>
      <c r="Z129" s="149"/>
      <c r="AA129" s="149"/>
    </row>
    <row r="130" spans="1:27" ht="19.5" customHeight="1" x14ac:dyDescent="0.25">
      <c r="A130" s="143">
        <v>112</v>
      </c>
      <c r="B130" s="98" t="s">
        <v>446</v>
      </c>
      <c r="C130" s="138" t="s">
        <v>659</v>
      </c>
      <c r="D130" s="155" t="s">
        <v>660</v>
      </c>
      <c r="E130" s="146" t="s">
        <v>6</v>
      </c>
      <c r="F130" s="146">
        <v>1</v>
      </c>
      <c r="G130" s="98" t="s">
        <v>637</v>
      </c>
      <c r="H130" s="147"/>
      <c r="I130" s="154"/>
      <c r="J130" s="154"/>
      <c r="K130" s="154"/>
      <c r="L130" s="154"/>
      <c r="M130" s="154"/>
      <c r="N130" s="154"/>
      <c r="O130" s="154"/>
      <c r="P130" s="154"/>
      <c r="Q130" s="154"/>
      <c r="R130" s="154"/>
      <c r="S130" s="154"/>
      <c r="T130" s="154"/>
      <c r="U130" s="154"/>
      <c r="V130" s="154"/>
      <c r="W130" s="153" t="s">
        <v>445</v>
      </c>
      <c r="X130" s="154"/>
      <c r="Y130" s="154"/>
      <c r="Z130" s="154"/>
      <c r="AA130" s="154"/>
    </row>
    <row r="131" spans="1:27" ht="19.5" customHeight="1" x14ac:dyDescent="0.25">
      <c r="A131" s="143">
        <v>113</v>
      </c>
      <c r="B131" s="156" t="s">
        <v>376</v>
      </c>
      <c r="C131" s="157" t="s">
        <v>661</v>
      </c>
      <c r="D131" s="158" t="s">
        <v>662</v>
      </c>
      <c r="E131" s="146" t="s">
        <v>133</v>
      </c>
      <c r="F131" s="146">
        <v>0.5</v>
      </c>
      <c r="G131" s="98" t="s">
        <v>637</v>
      </c>
      <c r="H131" s="147"/>
      <c r="I131" s="149"/>
      <c r="J131" s="149"/>
      <c r="K131" s="149"/>
      <c r="L131" s="149"/>
      <c r="M131" s="149"/>
      <c r="N131" s="149"/>
      <c r="O131" s="149"/>
      <c r="P131" s="149"/>
      <c r="Q131" s="149"/>
      <c r="R131" s="149"/>
      <c r="S131" s="149"/>
      <c r="T131" s="149"/>
      <c r="U131" s="149"/>
      <c r="V131" s="149"/>
      <c r="W131" s="159" t="s">
        <v>144</v>
      </c>
      <c r="X131" s="149"/>
      <c r="Y131" s="149"/>
      <c r="Z131" s="149"/>
      <c r="AA131" s="149"/>
    </row>
    <row r="132" spans="1:27" ht="19.5" customHeight="1" x14ac:dyDescent="0.25">
      <c r="A132" s="143">
        <v>114</v>
      </c>
      <c r="B132" s="156" t="s">
        <v>376</v>
      </c>
      <c r="C132" s="157" t="s">
        <v>663</v>
      </c>
      <c r="D132" s="158" t="s">
        <v>664</v>
      </c>
      <c r="E132" s="146" t="s">
        <v>133</v>
      </c>
      <c r="F132" s="146">
        <v>0.5</v>
      </c>
      <c r="G132" s="98" t="s">
        <v>637</v>
      </c>
      <c r="H132" s="147"/>
      <c r="I132" s="154"/>
      <c r="J132" s="154"/>
      <c r="K132" s="154"/>
      <c r="L132" s="154"/>
      <c r="M132" s="154"/>
      <c r="N132" s="154"/>
      <c r="O132" s="154"/>
      <c r="P132" s="154"/>
      <c r="Q132" s="154"/>
      <c r="R132" s="154"/>
      <c r="S132" s="154"/>
      <c r="T132" s="154"/>
      <c r="U132" s="154"/>
      <c r="V132" s="154"/>
      <c r="W132" s="159" t="s">
        <v>144</v>
      </c>
      <c r="X132" s="154"/>
      <c r="Y132" s="154"/>
      <c r="Z132" s="154"/>
      <c r="AA132" s="154"/>
    </row>
    <row r="133" spans="1:27" ht="19.5" customHeight="1" x14ac:dyDescent="0.25">
      <c r="A133" s="143">
        <v>115</v>
      </c>
      <c r="B133" s="156" t="s">
        <v>376</v>
      </c>
      <c r="C133" s="157" t="s">
        <v>665</v>
      </c>
      <c r="D133" s="158" t="s">
        <v>666</v>
      </c>
      <c r="E133" s="146" t="s">
        <v>133</v>
      </c>
      <c r="F133" s="146">
        <v>0.5</v>
      </c>
      <c r="G133" s="98" t="s">
        <v>637</v>
      </c>
      <c r="H133" s="147"/>
      <c r="I133" s="149"/>
      <c r="J133" s="149"/>
      <c r="K133" s="149"/>
      <c r="L133" s="149"/>
      <c r="M133" s="149"/>
      <c r="N133" s="149"/>
      <c r="O133" s="149"/>
      <c r="P133" s="149"/>
      <c r="Q133" s="149"/>
      <c r="R133" s="149"/>
      <c r="S133" s="149"/>
      <c r="T133" s="149"/>
      <c r="U133" s="149"/>
      <c r="V133" s="149"/>
      <c r="W133" s="159" t="s">
        <v>144</v>
      </c>
      <c r="X133" s="149"/>
      <c r="Y133" s="149"/>
      <c r="Z133" s="149"/>
      <c r="AA133" s="149"/>
    </row>
    <row r="135" spans="1:27" ht="24" customHeight="1" x14ac:dyDescent="0.25">
      <c r="A135" s="219" t="s">
        <v>667</v>
      </c>
      <c r="B135" s="219"/>
      <c r="C135" s="219"/>
      <c r="D135" s="219"/>
      <c r="E135" s="219"/>
      <c r="F135" s="219"/>
      <c r="G135" s="219"/>
      <c r="H135" s="219"/>
      <c r="I135" s="141"/>
      <c r="J135" s="141"/>
      <c r="K135" s="141"/>
      <c r="L135" s="141"/>
      <c r="M135" s="141"/>
      <c r="N135" s="141"/>
      <c r="O135" s="141"/>
      <c r="P135" s="141"/>
      <c r="Q135" s="141"/>
      <c r="R135" s="141"/>
      <c r="S135" s="141"/>
      <c r="T135" s="141"/>
      <c r="U135" s="141"/>
      <c r="V135" s="141"/>
      <c r="W135" s="141"/>
      <c r="X135" s="141"/>
      <c r="Y135" s="141"/>
      <c r="Z135" s="141"/>
      <c r="AA135" s="141"/>
    </row>
    <row r="136" spans="1:27" ht="19.5" customHeight="1" x14ac:dyDescent="0.25">
      <c r="A136" s="220" t="s">
        <v>668</v>
      </c>
      <c r="B136" s="220"/>
      <c r="C136" s="220"/>
      <c r="D136" s="220"/>
      <c r="E136" s="220"/>
      <c r="F136" s="220"/>
      <c r="G136" s="220"/>
      <c r="H136" s="220"/>
      <c r="I136" s="142"/>
      <c r="J136" s="142"/>
      <c r="K136" s="142"/>
      <c r="L136" s="142"/>
      <c r="M136" s="142"/>
      <c r="N136" s="142"/>
      <c r="O136" s="142"/>
      <c r="P136" s="142"/>
      <c r="Q136" s="142"/>
      <c r="R136" s="142"/>
      <c r="S136" s="142"/>
      <c r="T136" s="142"/>
      <c r="U136" s="142"/>
      <c r="V136" s="142"/>
      <c r="W136" s="142"/>
      <c r="X136" s="142"/>
      <c r="Y136" s="142"/>
      <c r="Z136" s="142"/>
      <c r="AA136" s="142"/>
    </row>
    <row r="137" spans="1:27" ht="19.5" customHeight="1" x14ac:dyDescent="0.25">
      <c r="A137" s="143">
        <v>116</v>
      </c>
      <c r="B137" s="161" t="s">
        <v>669</v>
      </c>
      <c r="C137" s="138" t="s">
        <v>670</v>
      </c>
      <c r="D137" s="155" t="s">
        <v>671</v>
      </c>
      <c r="E137" s="146" t="s">
        <v>9</v>
      </c>
      <c r="F137" s="146">
        <v>10</v>
      </c>
      <c r="G137" s="98" t="s">
        <v>672</v>
      </c>
      <c r="H137" s="147"/>
      <c r="I137" s="149"/>
      <c r="J137" s="149"/>
      <c r="K137" s="149"/>
      <c r="L137" s="149"/>
      <c r="M137" s="149"/>
      <c r="N137" s="149"/>
      <c r="O137" s="149"/>
      <c r="P137" s="149"/>
      <c r="Q137" s="149"/>
      <c r="R137" s="149"/>
      <c r="S137" s="149"/>
      <c r="T137" s="149"/>
      <c r="U137" s="149"/>
      <c r="V137" s="149"/>
      <c r="W137" s="149"/>
      <c r="X137" s="162" t="s">
        <v>445</v>
      </c>
      <c r="Y137" s="149"/>
      <c r="Z137" s="149"/>
      <c r="AA137" s="149"/>
    </row>
    <row r="138" spans="1:27" ht="19.5" customHeight="1" x14ac:dyDescent="0.25">
      <c r="A138" s="143">
        <v>117</v>
      </c>
      <c r="B138" s="161" t="s">
        <v>669</v>
      </c>
      <c r="C138" s="138" t="s">
        <v>673</v>
      </c>
      <c r="D138" s="155" t="s">
        <v>674</v>
      </c>
      <c r="E138" s="146" t="s">
        <v>6</v>
      </c>
      <c r="F138" s="146">
        <v>8</v>
      </c>
      <c r="G138" s="98" t="s">
        <v>672</v>
      </c>
      <c r="H138" s="147"/>
      <c r="I138" s="154"/>
      <c r="J138" s="154"/>
      <c r="K138" s="154"/>
      <c r="L138" s="154"/>
      <c r="M138" s="154"/>
      <c r="N138" s="154"/>
      <c r="O138" s="154"/>
      <c r="P138" s="154"/>
      <c r="Q138" s="154"/>
      <c r="R138" s="154"/>
      <c r="S138" s="154"/>
      <c r="T138" s="154"/>
      <c r="U138" s="154"/>
      <c r="V138" s="154"/>
      <c r="W138" s="154"/>
      <c r="X138" s="162" t="s">
        <v>445</v>
      </c>
      <c r="Y138" s="154"/>
      <c r="Z138" s="154"/>
      <c r="AA138" s="154"/>
    </row>
    <row r="139" spans="1:27" ht="19.5" customHeight="1" x14ac:dyDescent="0.25">
      <c r="A139" s="143">
        <v>118</v>
      </c>
      <c r="B139" s="161" t="s">
        <v>669</v>
      </c>
      <c r="C139" s="138" t="s">
        <v>675</v>
      </c>
      <c r="D139" s="155" t="s">
        <v>676</v>
      </c>
      <c r="E139" s="146" t="s">
        <v>3</v>
      </c>
      <c r="F139" s="146">
        <v>5</v>
      </c>
      <c r="G139" s="98" t="s">
        <v>672</v>
      </c>
      <c r="H139" s="147"/>
      <c r="I139" s="149"/>
      <c r="J139" s="149"/>
      <c r="K139" s="149"/>
      <c r="L139" s="149"/>
      <c r="M139" s="149"/>
      <c r="N139" s="149"/>
      <c r="O139" s="149"/>
      <c r="P139" s="149"/>
      <c r="Q139" s="149"/>
      <c r="R139" s="149"/>
      <c r="S139" s="149"/>
      <c r="T139" s="149"/>
      <c r="U139" s="149"/>
      <c r="V139" s="149"/>
      <c r="W139" s="149"/>
      <c r="X139" s="149"/>
      <c r="Y139" s="162" t="s">
        <v>445</v>
      </c>
      <c r="Z139" s="149"/>
      <c r="AA139" s="149"/>
    </row>
    <row r="140" spans="1:27" ht="19.5" customHeight="1" x14ac:dyDescent="0.25">
      <c r="A140" s="143">
        <v>119</v>
      </c>
      <c r="B140" s="161" t="s">
        <v>669</v>
      </c>
      <c r="C140" s="138" t="s">
        <v>677</v>
      </c>
      <c r="D140" s="155" t="s">
        <v>678</v>
      </c>
      <c r="E140" s="146" t="s">
        <v>3</v>
      </c>
      <c r="F140" s="146">
        <v>3</v>
      </c>
      <c r="G140" s="98" t="s">
        <v>672</v>
      </c>
      <c r="H140" s="147"/>
      <c r="I140" s="154"/>
      <c r="J140" s="154"/>
      <c r="K140" s="154"/>
      <c r="L140" s="154"/>
      <c r="M140" s="154"/>
      <c r="N140" s="154"/>
      <c r="O140" s="154"/>
      <c r="P140" s="154"/>
      <c r="Q140" s="154"/>
      <c r="R140" s="154"/>
      <c r="S140" s="154"/>
      <c r="T140" s="154"/>
      <c r="U140" s="154"/>
      <c r="V140" s="154"/>
      <c r="W140" s="154"/>
      <c r="X140" s="154"/>
      <c r="Y140" s="162" t="s">
        <v>445</v>
      </c>
      <c r="Z140" s="154"/>
      <c r="AA140" s="154"/>
    </row>
    <row r="141" spans="1:27" ht="19.5" customHeight="1" x14ac:dyDescent="0.25">
      <c r="A141" s="143">
        <v>120</v>
      </c>
      <c r="B141" s="161" t="s">
        <v>669</v>
      </c>
      <c r="C141" s="138" t="s">
        <v>679</v>
      </c>
      <c r="D141" s="155" t="s">
        <v>680</v>
      </c>
      <c r="E141" s="146" t="s">
        <v>6</v>
      </c>
      <c r="F141" s="146">
        <v>4</v>
      </c>
      <c r="G141" s="98" t="s">
        <v>672</v>
      </c>
      <c r="H141" s="147"/>
      <c r="I141" s="149"/>
      <c r="J141" s="149"/>
      <c r="K141" s="149"/>
      <c r="L141" s="149"/>
      <c r="M141" s="149"/>
      <c r="N141" s="149"/>
      <c r="O141" s="149"/>
      <c r="P141" s="149"/>
      <c r="Q141" s="149"/>
      <c r="R141" s="149"/>
      <c r="S141" s="149"/>
      <c r="T141" s="149"/>
      <c r="U141" s="149"/>
      <c r="V141" s="149"/>
      <c r="W141" s="149"/>
      <c r="X141" s="149"/>
      <c r="Y141" s="162" t="s">
        <v>445</v>
      </c>
      <c r="Z141" s="149"/>
      <c r="AA141" s="149"/>
    </row>
    <row r="142" spans="1:27" ht="19.5" customHeight="1" x14ac:dyDescent="0.25">
      <c r="A142" s="143">
        <v>121</v>
      </c>
      <c r="B142" s="161" t="s">
        <v>669</v>
      </c>
      <c r="C142" s="138" t="s">
        <v>681</v>
      </c>
      <c r="D142" s="155" t="s">
        <v>682</v>
      </c>
      <c r="E142" s="146" t="s">
        <v>6</v>
      </c>
      <c r="F142" s="146">
        <v>6</v>
      </c>
      <c r="G142" s="98" t="s">
        <v>672</v>
      </c>
      <c r="H142" s="147"/>
      <c r="I142" s="154"/>
      <c r="J142" s="154"/>
      <c r="K142" s="154"/>
      <c r="L142" s="154"/>
      <c r="M142" s="154"/>
      <c r="N142" s="154"/>
      <c r="O142" s="154"/>
      <c r="P142" s="154"/>
      <c r="Q142" s="154"/>
      <c r="R142" s="154"/>
      <c r="S142" s="154"/>
      <c r="T142" s="154"/>
      <c r="U142" s="154"/>
      <c r="V142" s="154"/>
      <c r="W142" s="154"/>
      <c r="X142" s="154"/>
      <c r="Y142" s="154"/>
      <c r="Z142" s="162" t="s">
        <v>445</v>
      </c>
      <c r="AA142" s="154"/>
    </row>
    <row r="143" spans="1:27" ht="19.5" customHeight="1" x14ac:dyDescent="0.25">
      <c r="A143" s="143">
        <v>122</v>
      </c>
      <c r="B143" s="161" t="s">
        <v>669</v>
      </c>
      <c r="C143" s="138" t="s">
        <v>683</v>
      </c>
      <c r="D143" s="155" t="s">
        <v>684</v>
      </c>
      <c r="E143" s="146" t="s">
        <v>9</v>
      </c>
      <c r="F143" s="146">
        <v>5</v>
      </c>
      <c r="G143" s="98" t="s">
        <v>672</v>
      </c>
      <c r="H143" s="147"/>
      <c r="I143" s="149"/>
      <c r="J143" s="149"/>
      <c r="K143" s="149"/>
      <c r="L143" s="149"/>
      <c r="M143" s="149"/>
      <c r="N143" s="149"/>
      <c r="O143" s="149"/>
      <c r="P143" s="149"/>
      <c r="Q143" s="149"/>
      <c r="R143" s="149"/>
      <c r="S143" s="149"/>
      <c r="T143" s="149"/>
      <c r="U143" s="149"/>
      <c r="V143" s="149"/>
      <c r="W143" s="149"/>
      <c r="X143" s="149"/>
      <c r="Y143" s="149"/>
      <c r="Z143" s="162" t="s">
        <v>445</v>
      </c>
      <c r="AA143" s="149"/>
    </row>
    <row r="144" spans="1:27" ht="19.5" customHeight="1" x14ac:dyDescent="0.25">
      <c r="A144" s="143">
        <v>123</v>
      </c>
      <c r="B144" s="161" t="s">
        <v>669</v>
      </c>
      <c r="C144" s="138" t="s">
        <v>685</v>
      </c>
      <c r="D144" s="155" t="s">
        <v>686</v>
      </c>
      <c r="E144" s="146" t="s">
        <v>133</v>
      </c>
      <c r="F144" s="146">
        <v>3</v>
      </c>
      <c r="G144" s="98" t="s">
        <v>672</v>
      </c>
      <c r="H144" s="147"/>
      <c r="I144" s="154"/>
      <c r="J144" s="154"/>
      <c r="K144" s="154"/>
      <c r="L144" s="154"/>
      <c r="M144" s="154"/>
      <c r="N144" s="154"/>
      <c r="O144" s="154"/>
      <c r="P144" s="154"/>
      <c r="Q144" s="154"/>
      <c r="R144" s="154"/>
      <c r="S144" s="154"/>
      <c r="T144" s="154"/>
      <c r="U144" s="154"/>
      <c r="V144" s="154"/>
      <c r="W144" s="154"/>
      <c r="X144" s="154"/>
      <c r="Y144" s="154"/>
      <c r="Z144" s="162" t="s">
        <v>445</v>
      </c>
      <c r="AA144" s="154"/>
    </row>
    <row r="145" spans="1:27" ht="19.5" customHeight="1" x14ac:dyDescent="0.25">
      <c r="A145" s="143">
        <v>124</v>
      </c>
      <c r="B145" s="161" t="s">
        <v>669</v>
      </c>
      <c r="C145" s="138" t="s">
        <v>687</v>
      </c>
      <c r="D145" s="155" t="s">
        <v>688</v>
      </c>
      <c r="E145" s="146" t="s">
        <v>133</v>
      </c>
      <c r="F145" s="146">
        <v>2</v>
      </c>
      <c r="G145" s="98" t="s">
        <v>672</v>
      </c>
      <c r="H145" s="147"/>
      <c r="I145" s="149"/>
      <c r="J145" s="149"/>
      <c r="K145" s="149"/>
      <c r="L145" s="149"/>
      <c r="M145" s="149"/>
      <c r="N145" s="149"/>
      <c r="O145" s="149"/>
      <c r="P145" s="149"/>
      <c r="Q145" s="149"/>
      <c r="R145" s="149"/>
      <c r="S145" s="149"/>
      <c r="T145" s="149"/>
      <c r="U145" s="149"/>
      <c r="V145" s="149"/>
      <c r="W145" s="149"/>
      <c r="X145" s="149"/>
      <c r="Y145" s="149"/>
      <c r="Z145" s="149"/>
      <c r="AA145" s="162" t="s">
        <v>445</v>
      </c>
    </row>
    <row r="146" spans="1:27" ht="19.5" customHeight="1" x14ac:dyDescent="0.25">
      <c r="A146" s="143">
        <v>125</v>
      </c>
      <c r="B146" s="161" t="s">
        <v>669</v>
      </c>
      <c r="C146" s="138" t="s">
        <v>689</v>
      </c>
      <c r="D146" s="155" t="s">
        <v>690</v>
      </c>
      <c r="E146" s="146" t="s">
        <v>133</v>
      </c>
      <c r="F146" s="146">
        <v>3</v>
      </c>
      <c r="G146" s="98" t="s">
        <v>672</v>
      </c>
      <c r="H146" s="147"/>
      <c r="I146" s="154"/>
      <c r="J146" s="154"/>
      <c r="K146" s="154"/>
      <c r="L146" s="154"/>
      <c r="M146" s="154"/>
      <c r="N146" s="154"/>
      <c r="O146" s="154"/>
      <c r="P146" s="154"/>
      <c r="Q146" s="154"/>
      <c r="R146" s="154"/>
      <c r="S146" s="154"/>
      <c r="T146" s="154"/>
      <c r="U146" s="154"/>
      <c r="V146" s="154"/>
      <c r="W146" s="154"/>
      <c r="X146" s="154"/>
      <c r="Y146" s="154"/>
      <c r="Z146" s="154"/>
      <c r="AA146" s="162" t="s">
        <v>445</v>
      </c>
    </row>
    <row r="147" spans="1:27" ht="19.5" customHeight="1" x14ac:dyDescent="0.25">
      <c r="A147" s="143">
        <v>126</v>
      </c>
      <c r="B147" s="156" t="s">
        <v>376</v>
      </c>
      <c r="C147" s="157" t="s">
        <v>691</v>
      </c>
      <c r="D147" s="158" t="s">
        <v>692</v>
      </c>
      <c r="E147" s="146" t="s">
        <v>133</v>
      </c>
      <c r="F147" s="146">
        <v>0.5</v>
      </c>
      <c r="G147" s="98" t="s">
        <v>672</v>
      </c>
      <c r="H147" s="147"/>
      <c r="I147" s="149"/>
      <c r="J147" s="149"/>
      <c r="K147" s="149"/>
      <c r="L147" s="149"/>
      <c r="M147" s="149"/>
      <c r="N147" s="149"/>
      <c r="O147" s="149"/>
      <c r="P147" s="149"/>
      <c r="Q147" s="149"/>
      <c r="R147" s="149"/>
      <c r="S147" s="149"/>
      <c r="T147" s="149"/>
      <c r="U147" s="149"/>
      <c r="V147" s="149"/>
      <c r="W147" s="149"/>
      <c r="X147" s="149"/>
      <c r="Y147" s="149"/>
      <c r="Z147" s="149"/>
      <c r="AA147" s="159" t="s">
        <v>144</v>
      </c>
    </row>
    <row r="148" spans="1:27" ht="19.5" customHeight="1" x14ac:dyDescent="0.25">
      <c r="A148" s="143">
        <v>127</v>
      </c>
      <c r="B148" s="156" t="s">
        <v>376</v>
      </c>
      <c r="C148" s="157" t="s">
        <v>693</v>
      </c>
      <c r="D148" s="158" t="s">
        <v>694</v>
      </c>
      <c r="E148" s="146" t="s">
        <v>133</v>
      </c>
      <c r="F148" s="146">
        <v>0.5</v>
      </c>
      <c r="G148" s="98" t="s">
        <v>672</v>
      </c>
      <c r="H148" s="147"/>
      <c r="I148" s="154"/>
      <c r="J148" s="154"/>
      <c r="K148" s="154"/>
      <c r="L148" s="154"/>
      <c r="M148" s="154"/>
      <c r="N148" s="154"/>
      <c r="O148" s="154"/>
      <c r="P148" s="154"/>
      <c r="Q148" s="154"/>
      <c r="R148" s="154"/>
      <c r="S148" s="154"/>
      <c r="T148" s="154"/>
      <c r="U148" s="154"/>
      <c r="V148" s="154"/>
      <c r="W148" s="154"/>
      <c r="X148" s="154"/>
      <c r="Y148" s="154"/>
      <c r="Z148" s="154"/>
      <c r="AA148" s="159" t="s">
        <v>144</v>
      </c>
    </row>
    <row r="149" spans="1:27" ht="19.5" customHeight="1" x14ac:dyDescent="0.25">
      <c r="A149" s="143">
        <v>128</v>
      </c>
      <c r="B149" s="144" t="s">
        <v>695</v>
      </c>
      <c r="C149" s="64" t="s">
        <v>696</v>
      </c>
      <c r="D149" s="163" t="s">
        <v>697</v>
      </c>
      <c r="E149" s="146" t="s">
        <v>133</v>
      </c>
      <c r="F149" s="146">
        <v>1</v>
      </c>
      <c r="G149" s="98" t="s">
        <v>672</v>
      </c>
      <c r="H149" s="147"/>
      <c r="I149" s="149"/>
      <c r="J149" s="149"/>
      <c r="K149" s="149"/>
      <c r="L149" s="149"/>
      <c r="M149" s="149"/>
      <c r="N149" s="149"/>
      <c r="O149" s="149"/>
      <c r="P149" s="149"/>
      <c r="Q149" s="149"/>
      <c r="R149" s="149"/>
      <c r="S149" s="149"/>
      <c r="T149" s="149"/>
      <c r="U149" s="149"/>
      <c r="V149" s="149"/>
      <c r="W149" s="149"/>
      <c r="X149" s="149"/>
      <c r="Y149" s="149"/>
      <c r="Z149" s="149"/>
      <c r="AA149" s="148" t="s">
        <v>441</v>
      </c>
    </row>
  </sheetData>
  <mergeCells count="20">
    <mergeCell ref="A135:H135"/>
    <mergeCell ref="A136:H136"/>
    <mergeCell ref="X3:AA3"/>
    <mergeCell ref="U3:W3"/>
    <mergeCell ref="R3:T3"/>
    <mergeCell ref="O3:Q3"/>
    <mergeCell ref="L3:N3"/>
    <mergeCell ref="I3:K3"/>
    <mergeCell ref="A60:H60"/>
    <mergeCell ref="A84:H84"/>
    <mergeCell ref="A85:H85"/>
    <mergeCell ref="A115:H115"/>
    <mergeCell ref="A116:H116"/>
    <mergeCell ref="A5:H5"/>
    <mergeCell ref="A6:H6"/>
    <mergeCell ref="A32:H32"/>
    <mergeCell ref="A33:H33"/>
    <mergeCell ref="A59:H59"/>
    <mergeCell ref="A1:AA1"/>
    <mergeCell ref="A2:AA2"/>
  </mergeCells>
  <conditionalFormatting sqref="D7:D30">
    <cfRule type="expression" dxfId="13" priority="3">
      <formula>$H7="✓"</formula>
    </cfRule>
  </conditionalFormatting>
  <conditionalFormatting sqref="D34:D57">
    <cfRule type="expression" dxfId="12" priority="51">
      <formula>$H34="✓"</formula>
    </cfRule>
  </conditionalFormatting>
  <conditionalFormatting sqref="D61:D82">
    <cfRule type="expression" dxfId="11" priority="99">
      <formula>$H61="✓"</formula>
    </cfRule>
  </conditionalFormatting>
  <conditionalFormatting sqref="D86:D113">
    <cfRule type="expression" dxfId="10" priority="143">
      <formula>$H86="✓"</formula>
    </cfRule>
  </conditionalFormatting>
  <conditionalFormatting sqref="D117:D133">
    <cfRule type="expression" dxfId="9" priority="199">
      <formula>$H117="✓"</formula>
    </cfRule>
  </conditionalFormatting>
  <conditionalFormatting sqref="D137:D149">
    <cfRule type="expression" dxfId="8" priority="233">
      <formula>$H137="✓"</formula>
    </cfRule>
  </conditionalFormatting>
  <conditionalFormatting sqref="H7:H30">
    <cfRule type="expression" dxfId="7" priority="2">
      <formula>$H7="✓"</formula>
    </cfRule>
  </conditionalFormatting>
  <conditionalFormatting sqref="H34:H57">
    <cfRule type="expression" dxfId="6" priority="50">
      <formula>$H34="✓"</formula>
    </cfRule>
  </conditionalFormatting>
  <conditionalFormatting sqref="H61:H82">
    <cfRule type="expression" dxfId="5" priority="98">
      <formula>$H61="✓"</formula>
    </cfRule>
  </conditionalFormatting>
  <conditionalFormatting sqref="H86:H113">
    <cfRule type="expression" dxfId="4" priority="142">
      <formula>$H86="✓"</formula>
    </cfRule>
  </conditionalFormatting>
  <conditionalFormatting sqref="H117:H133">
    <cfRule type="expression" dxfId="3" priority="198">
      <formula>$H117="✓"</formula>
    </cfRule>
  </conditionalFormatting>
  <conditionalFormatting sqref="H137:H149">
    <cfRule type="expression" dxfId="2" priority="232">
      <formula>$H137="✓"</formula>
    </cfRule>
  </conditionalFormatting>
  <dataValidations count="1">
    <dataValidation type="list" allowBlank="1" sqref="H7:H30 H34:H57 H61:H82 H86:H113 H117:H133 H137:H149" xr:uid="{00000000-0002-0000-0800-000000000000}">
      <formula1>"✓,"</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8"/>
  <sheetViews>
    <sheetView showGridLines="0" topLeftCell="A88" zoomScaleNormal="100" workbookViewId="0">
      <selection activeCell="H3" sqref="H3"/>
    </sheetView>
  </sheetViews>
  <sheetFormatPr baseColWidth="10" defaultColWidth="8.7109375" defaultRowHeight="15" x14ac:dyDescent="0.25"/>
  <cols>
    <col min="1" max="1" width="8" customWidth="1"/>
    <col min="2" max="3" width="9" customWidth="1"/>
    <col min="4" max="4" width="46" customWidth="1"/>
    <col min="5" max="5" width="9" customWidth="1"/>
    <col min="6" max="6" width="40" customWidth="1"/>
    <col min="7" max="7" width="16" customWidth="1"/>
    <col min="8" max="8" width="8" customWidth="1"/>
    <col min="9" max="9" width="9" customWidth="1"/>
    <col min="10" max="10" width="7" customWidth="1"/>
  </cols>
  <sheetData>
    <row r="1" spans="1:10" ht="33.75" customHeight="1" x14ac:dyDescent="0.25">
      <c r="A1" s="216" t="s">
        <v>698</v>
      </c>
      <c r="B1" s="216"/>
      <c r="C1" s="216"/>
      <c r="D1" s="216"/>
      <c r="E1" s="216"/>
      <c r="F1" s="216"/>
      <c r="G1" s="216"/>
      <c r="H1" s="216"/>
      <c r="I1" s="216"/>
      <c r="J1" s="216"/>
    </row>
    <row r="2" spans="1:10" ht="18" customHeight="1" x14ac:dyDescent="0.25">
      <c r="A2" s="214" t="s">
        <v>699</v>
      </c>
      <c r="B2" s="214"/>
      <c r="C2" s="214"/>
      <c r="D2" s="214"/>
      <c r="E2" s="214"/>
      <c r="F2" s="214"/>
      <c r="G2" s="214"/>
      <c r="H2" s="214"/>
      <c r="I2" s="214"/>
      <c r="J2" s="214"/>
    </row>
    <row r="3" spans="1:10" ht="27.75" customHeight="1" x14ac:dyDescent="0.25">
      <c r="A3" s="164" t="s">
        <v>308</v>
      </c>
      <c r="B3" s="164" t="s">
        <v>311</v>
      </c>
      <c r="C3" s="164" t="s">
        <v>700</v>
      </c>
      <c r="D3" s="164" t="s">
        <v>701</v>
      </c>
      <c r="E3" s="164" t="s">
        <v>416</v>
      </c>
      <c r="F3" s="164" t="s">
        <v>702</v>
      </c>
      <c r="G3" s="164" t="s">
        <v>703</v>
      </c>
      <c r="H3" s="164" t="s">
        <v>704</v>
      </c>
      <c r="I3" s="164" t="s">
        <v>312</v>
      </c>
      <c r="J3" s="164" t="s">
        <v>314</v>
      </c>
    </row>
    <row r="4" spans="1:10" ht="30" customHeight="1" x14ac:dyDescent="0.25">
      <c r="A4" s="165" t="s">
        <v>315</v>
      </c>
      <c r="B4" s="98" t="s">
        <v>319</v>
      </c>
      <c r="C4" s="65" t="s">
        <v>443</v>
      </c>
      <c r="D4" s="166" t="s">
        <v>705</v>
      </c>
      <c r="E4" s="167" t="s">
        <v>442</v>
      </c>
      <c r="F4" s="168" t="s">
        <v>706</v>
      </c>
      <c r="G4" s="169" t="s">
        <v>707</v>
      </c>
      <c r="H4" s="170" t="s">
        <v>196</v>
      </c>
      <c r="I4" s="64" t="s">
        <v>320</v>
      </c>
      <c r="J4" s="171"/>
    </row>
    <row r="5" spans="1:10" ht="30" customHeight="1" x14ac:dyDescent="0.25">
      <c r="A5" s="172" t="s">
        <v>315</v>
      </c>
      <c r="B5" s="98" t="s">
        <v>319</v>
      </c>
      <c r="C5" s="49" t="s">
        <v>447</v>
      </c>
      <c r="D5" s="173" t="s">
        <v>708</v>
      </c>
      <c r="E5" s="161" t="s">
        <v>446</v>
      </c>
      <c r="F5" s="168" t="s">
        <v>709</v>
      </c>
      <c r="G5" s="169" t="s">
        <v>710</v>
      </c>
      <c r="H5" s="45" t="s">
        <v>187</v>
      </c>
      <c r="I5" s="64" t="s">
        <v>320</v>
      </c>
      <c r="J5" s="171"/>
    </row>
    <row r="6" spans="1:10" ht="30" customHeight="1" x14ac:dyDescent="0.25">
      <c r="A6" s="172" t="s">
        <v>315</v>
      </c>
      <c r="B6" s="98" t="s">
        <v>319</v>
      </c>
      <c r="C6" s="49" t="s">
        <v>449</v>
      </c>
      <c r="D6" s="173" t="s">
        <v>711</v>
      </c>
      <c r="E6" s="161" t="s">
        <v>446</v>
      </c>
      <c r="F6" s="168" t="s">
        <v>712</v>
      </c>
      <c r="G6" s="169" t="s">
        <v>710</v>
      </c>
      <c r="H6" s="45" t="s">
        <v>184</v>
      </c>
      <c r="I6" s="64" t="s">
        <v>320</v>
      </c>
      <c r="J6" s="171"/>
    </row>
    <row r="7" spans="1:10" ht="30" customHeight="1" x14ac:dyDescent="0.25">
      <c r="A7" s="172" t="s">
        <v>315</v>
      </c>
      <c r="B7" s="98" t="s">
        <v>319</v>
      </c>
      <c r="C7" s="49" t="s">
        <v>451</v>
      </c>
      <c r="D7" s="173" t="s">
        <v>713</v>
      </c>
      <c r="E7" s="161" t="s">
        <v>446</v>
      </c>
      <c r="F7" s="168" t="s">
        <v>714</v>
      </c>
      <c r="G7" s="169" t="s">
        <v>710</v>
      </c>
      <c r="H7" s="45" t="s">
        <v>184</v>
      </c>
      <c r="I7" s="64" t="s">
        <v>320</v>
      </c>
      <c r="J7" s="171"/>
    </row>
    <row r="8" spans="1:10" ht="30" customHeight="1" x14ac:dyDescent="0.25">
      <c r="A8" s="165" t="s">
        <v>315</v>
      </c>
      <c r="B8" s="98" t="s">
        <v>319</v>
      </c>
      <c r="C8" s="65" t="s">
        <v>453</v>
      </c>
      <c r="D8" s="166" t="s">
        <v>715</v>
      </c>
      <c r="E8" s="167" t="s">
        <v>442</v>
      </c>
      <c r="F8" s="168" t="s">
        <v>716</v>
      </c>
      <c r="G8" s="169" t="s">
        <v>707</v>
      </c>
      <c r="H8" s="45" t="s">
        <v>187</v>
      </c>
      <c r="I8" s="64" t="s">
        <v>320</v>
      </c>
      <c r="J8" s="171"/>
    </row>
    <row r="9" spans="1:10" ht="30" customHeight="1" x14ac:dyDescent="0.25">
      <c r="A9" s="172" t="s">
        <v>315</v>
      </c>
      <c r="B9" s="98" t="s">
        <v>319</v>
      </c>
      <c r="C9" s="49" t="s">
        <v>455</v>
      </c>
      <c r="D9" s="173" t="s">
        <v>717</v>
      </c>
      <c r="E9" s="161" t="s">
        <v>446</v>
      </c>
      <c r="F9" s="168" t="s">
        <v>718</v>
      </c>
      <c r="G9" s="169" t="s">
        <v>710</v>
      </c>
      <c r="H9" s="45" t="s">
        <v>184</v>
      </c>
      <c r="I9" s="64" t="s">
        <v>320</v>
      </c>
      <c r="J9" s="171"/>
    </row>
    <row r="10" spans="1:10" ht="30" customHeight="1" x14ac:dyDescent="0.25">
      <c r="A10" s="165" t="s">
        <v>315</v>
      </c>
      <c r="B10" s="98" t="s">
        <v>319</v>
      </c>
      <c r="C10" s="65" t="s">
        <v>457</v>
      </c>
      <c r="D10" s="166" t="s">
        <v>719</v>
      </c>
      <c r="E10" s="167" t="s">
        <v>442</v>
      </c>
      <c r="F10" s="168" t="s">
        <v>720</v>
      </c>
      <c r="G10" s="169" t="s">
        <v>707</v>
      </c>
      <c r="H10" s="45" t="s">
        <v>190</v>
      </c>
      <c r="I10" s="64" t="s">
        <v>320</v>
      </c>
      <c r="J10" s="171"/>
    </row>
    <row r="11" spans="1:10" ht="30" customHeight="1" x14ac:dyDescent="0.25">
      <c r="A11" s="172" t="s">
        <v>315</v>
      </c>
      <c r="B11" s="98" t="s">
        <v>319</v>
      </c>
      <c r="C11" s="49" t="s">
        <v>459</v>
      </c>
      <c r="D11" s="173" t="s">
        <v>721</v>
      </c>
      <c r="E11" s="161" t="s">
        <v>446</v>
      </c>
      <c r="F11" s="168" t="s">
        <v>722</v>
      </c>
      <c r="G11" s="169" t="s">
        <v>710</v>
      </c>
      <c r="H11" s="45" t="s">
        <v>187</v>
      </c>
      <c r="I11" s="64" t="s">
        <v>320</v>
      </c>
      <c r="J11" s="171"/>
    </row>
    <row r="12" spans="1:10" ht="30" customHeight="1" x14ac:dyDescent="0.25">
      <c r="A12" s="172" t="s">
        <v>315</v>
      </c>
      <c r="B12" s="98" t="s">
        <v>319</v>
      </c>
      <c r="C12" s="49" t="s">
        <v>461</v>
      </c>
      <c r="D12" s="173" t="s">
        <v>723</v>
      </c>
      <c r="E12" s="161" t="s">
        <v>446</v>
      </c>
      <c r="F12" s="168" t="s">
        <v>724</v>
      </c>
      <c r="G12" s="169" t="s">
        <v>710</v>
      </c>
      <c r="H12" s="45" t="s">
        <v>184</v>
      </c>
      <c r="I12" s="64" t="s">
        <v>320</v>
      </c>
      <c r="J12" s="171"/>
    </row>
    <row r="13" spans="1:10" ht="30" customHeight="1" x14ac:dyDescent="0.25">
      <c r="A13" s="165" t="s">
        <v>315</v>
      </c>
      <c r="B13" s="98" t="s">
        <v>319</v>
      </c>
      <c r="C13" s="65" t="s">
        <v>463</v>
      </c>
      <c r="D13" s="166" t="s">
        <v>725</v>
      </c>
      <c r="E13" s="167" t="s">
        <v>442</v>
      </c>
      <c r="F13" s="168" t="s">
        <v>726</v>
      </c>
      <c r="G13" s="169" t="s">
        <v>727</v>
      </c>
      <c r="H13" s="45" t="s">
        <v>190</v>
      </c>
      <c r="I13" s="64" t="s">
        <v>320</v>
      </c>
      <c r="J13" s="171"/>
    </row>
    <row r="14" spans="1:10" ht="30" customHeight="1" x14ac:dyDescent="0.25">
      <c r="A14" s="172" t="s">
        <v>315</v>
      </c>
      <c r="B14" s="98" t="s">
        <v>319</v>
      </c>
      <c r="C14" s="49" t="s">
        <v>465</v>
      </c>
      <c r="D14" s="173" t="s">
        <v>728</v>
      </c>
      <c r="E14" s="161" t="s">
        <v>446</v>
      </c>
      <c r="F14" s="168" t="s">
        <v>729</v>
      </c>
      <c r="G14" s="169" t="s">
        <v>710</v>
      </c>
      <c r="H14" s="45" t="s">
        <v>184</v>
      </c>
      <c r="I14" s="64" t="s">
        <v>320</v>
      </c>
      <c r="J14" s="171"/>
    </row>
    <row r="15" spans="1:10" ht="30" customHeight="1" x14ac:dyDescent="0.25">
      <c r="A15" s="172" t="s">
        <v>315</v>
      </c>
      <c r="B15" s="98" t="s">
        <v>319</v>
      </c>
      <c r="C15" s="49" t="s">
        <v>467</v>
      </c>
      <c r="D15" s="173" t="s">
        <v>730</v>
      </c>
      <c r="E15" s="161" t="s">
        <v>446</v>
      </c>
      <c r="F15" s="168" t="s">
        <v>731</v>
      </c>
      <c r="G15" s="169" t="s">
        <v>710</v>
      </c>
      <c r="H15" s="45" t="s">
        <v>184</v>
      </c>
      <c r="I15" s="64" t="s">
        <v>320</v>
      </c>
      <c r="J15" s="171"/>
    </row>
    <row r="16" spans="1:10" ht="30" customHeight="1" x14ac:dyDescent="0.25">
      <c r="A16" s="165" t="s">
        <v>315</v>
      </c>
      <c r="B16" s="98" t="s">
        <v>319</v>
      </c>
      <c r="C16" s="65" t="s">
        <v>469</v>
      </c>
      <c r="D16" s="166" t="s">
        <v>732</v>
      </c>
      <c r="E16" s="167" t="s">
        <v>442</v>
      </c>
      <c r="F16" s="168" t="s">
        <v>733</v>
      </c>
      <c r="G16" s="169" t="s">
        <v>727</v>
      </c>
      <c r="H16" s="45" t="s">
        <v>187</v>
      </c>
      <c r="I16" s="64" t="s">
        <v>320</v>
      </c>
      <c r="J16" s="171"/>
    </row>
    <row r="17" spans="1:10" ht="30" customHeight="1" x14ac:dyDescent="0.25">
      <c r="A17" s="172" t="s">
        <v>315</v>
      </c>
      <c r="B17" s="98" t="s">
        <v>319</v>
      </c>
      <c r="C17" s="49" t="s">
        <v>471</v>
      </c>
      <c r="D17" s="173" t="s">
        <v>734</v>
      </c>
      <c r="E17" s="161" t="s">
        <v>446</v>
      </c>
      <c r="F17" s="168" t="s">
        <v>735</v>
      </c>
      <c r="G17" s="169" t="s">
        <v>710</v>
      </c>
      <c r="H17" s="45" t="s">
        <v>184</v>
      </c>
      <c r="I17" s="64" t="s">
        <v>320</v>
      </c>
      <c r="J17" s="171"/>
    </row>
    <row r="18" spans="1:10" ht="30" customHeight="1" x14ac:dyDescent="0.25">
      <c r="A18" s="165" t="s">
        <v>315</v>
      </c>
      <c r="B18" s="98" t="s">
        <v>319</v>
      </c>
      <c r="C18" s="65" t="s">
        <v>473</v>
      </c>
      <c r="D18" s="166" t="s">
        <v>736</v>
      </c>
      <c r="E18" s="167" t="s">
        <v>442</v>
      </c>
      <c r="F18" s="168" t="s">
        <v>737</v>
      </c>
      <c r="G18" s="169" t="s">
        <v>727</v>
      </c>
      <c r="H18" s="45" t="s">
        <v>187</v>
      </c>
      <c r="I18" s="64" t="s">
        <v>320</v>
      </c>
      <c r="J18" s="171"/>
    </row>
    <row r="19" spans="1:10" ht="30" customHeight="1" x14ac:dyDescent="0.25">
      <c r="A19" s="172" t="s">
        <v>315</v>
      </c>
      <c r="B19" s="98" t="s">
        <v>319</v>
      </c>
      <c r="C19" s="49" t="s">
        <v>475</v>
      </c>
      <c r="D19" s="173" t="s">
        <v>738</v>
      </c>
      <c r="E19" s="161" t="s">
        <v>446</v>
      </c>
      <c r="F19" s="168" t="s">
        <v>739</v>
      </c>
      <c r="G19" s="169" t="s">
        <v>710</v>
      </c>
      <c r="H19" s="45" t="s">
        <v>184</v>
      </c>
      <c r="I19" s="64" t="s">
        <v>320</v>
      </c>
      <c r="J19" s="171"/>
    </row>
    <row r="20" spans="1:10" ht="30" customHeight="1" x14ac:dyDescent="0.25">
      <c r="A20" s="172" t="s">
        <v>315</v>
      </c>
      <c r="B20" s="98" t="s">
        <v>319</v>
      </c>
      <c r="C20" s="49" t="s">
        <v>476</v>
      </c>
      <c r="D20" s="173" t="s">
        <v>740</v>
      </c>
      <c r="E20" s="161" t="s">
        <v>446</v>
      </c>
      <c r="F20" s="168" t="s">
        <v>741</v>
      </c>
      <c r="G20" s="169" t="s">
        <v>710</v>
      </c>
      <c r="H20" s="45" t="s">
        <v>187</v>
      </c>
      <c r="I20" s="64" t="s">
        <v>320</v>
      </c>
      <c r="J20" s="171"/>
    </row>
    <row r="21" spans="1:10" ht="30" customHeight="1" x14ac:dyDescent="0.25">
      <c r="A21" s="165" t="s">
        <v>315</v>
      </c>
      <c r="B21" s="98" t="s">
        <v>319</v>
      </c>
      <c r="C21" s="65" t="s">
        <v>478</v>
      </c>
      <c r="D21" s="166" t="s">
        <v>742</v>
      </c>
      <c r="E21" s="167" t="s">
        <v>442</v>
      </c>
      <c r="F21" s="168" t="s">
        <v>743</v>
      </c>
      <c r="G21" s="169" t="s">
        <v>707</v>
      </c>
      <c r="H21" s="45" t="s">
        <v>187</v>
      </c>
      <c r="I21" s="64" t="s">
        <v>320</v>
      </c>
      <c r="J21" s="171"/>
    </row>
    <row r="22" spans="1:10" ht="30" customHeight="1" x14ac:dyDescent="0.25">
      <c r="A22" s="172" t="s">
        <v>315</v>
      </c>
      <c r="B22" s="98" t="s">
        <v>319</v>
      </c>
      <c r="C22" s="49" t="s">
        <v>480</v>
      </c>
      <c r="D22" s="173" t="s">
        <v>744</v>
      </c>
      <c r="E22" s="161" t="s">
        <v>446</v>
      </c>
      <c r="F22" s="168" t="s">
        <v>745</v>
      </c>
      <c r="G22" s="169" t="s">
        <v>710</v>
      </c>
      <c r="H22" s="45" t="s">
        <v>184</v>
      </c>
      <c r="I22" s="64" t="s">
        <v>320</v>
      </c>
      <c r="J22" s="171"/>
    </row>
    <row r="23" spans="1:10" ht="30" customHeight="1" x14ac:dyDescent="0.25">
      <c r="A23" s="172" t="s">
        <v>315</v>
      </c>
      <c r="B23" s="98" t="s">
        <v>319</v>
      </c>
      <c r="C23" s="49" t="s">
        <v>482</v>
      </c>
      <c r="D23" s="173" t="s">
        <v>746</v>
      </c>
      <c r="E23" s="161" t="s">
        <v>446</v>
      </c>
      <c r="F23" s="168" t="s">
        <v>747</v>
      </c>
      <c r="G23" s="169" t="s">
        <v>710</v>
      </c>
      <c r="H23" s="45" t="s">
        <v>184</v>
      </c>
      <c r="I23" s="64" t="s">
        <v>320</v>
      </c>
      <c r="J23" s="171"/>
    </row>
    <row r="24" spans="1:10" ht="30" customHeight="1" x14ac:dyDescent="0.25">
      <c r="A24" s="165" t="s">
        <v>322</v>
      </c>
      <c r="B24" s="98" t="s">
        <v>326</v>
      </c>
      <c r="C24" s="65" t="s">
        <v>493</v>
      </c>
      <c r="D24" s="166" t="s">
        <v>748</v>
      </c>
      <c r="E24" s="167" t="s">
        <v>442</v>
      </c>
      <c r="F24" s="168" t="s">
        <v>749</v>
      </c>
      <c r="G24" s="169" t="s">
        <v>750</v>
      </c>
      <c r="H24" s="170" t="s">
        <v>196</v>
      </c>
      <c r="I24" s="64" t="s">
        <v>320</v>
      </c>
      <c r="J24" s="171"/>
    </row>
    <row r="25" spans="1:10" ht="30" customHeight="1" x14ac:dyDescent="0.25">
      <c r="A25" s="172" t="s">
        <v>322</v>
      </c>
      <c r="B25" s="98" t="s">
        <v>326</v>
      </c>
      <c r="C25" s="49" t="s">
        <v>495</v>
      </c>
      <c r="D25" s="173" t="s">
        <v>751</v>
      </c>
      <c r="E25" s="161" t="s">
        <v>446</v>
      </c>
      <c r="F25" s="168" t="s">
        <v>752</v>
      </c>
      <c r="G25" s="169" t="s">
        <v>710</v>
      </c>
      <c r="H25" s="45" t="s">
        <v>184</v>
      </c>
      <c r="I25" s="64" t="s">
        <v>320</v>
      </c>
      <c r="J25" s="171"/>
    </row>
    <row r="26" spans="1:10" ht="30" customHeight="1" x14ac:dyDescent="0.25">
      <c r="A26" s="172" t="s">
        <v>322</v>
      </c>
      <c r="B26" s="98" t="s">
        <v>326</v>
      </c>
      <c r="C26" s="49" t="s">
        <v>497</v>
      </c>
      <c r="D26" s="173" t="s">
        <v>753</v>
      </c>
      <c r="E26" s="161" t="s">
        <v>446</v>
      </c>
      <c r="F26" s="168" t="s">
        <v>754</v>
      </c>
      <c r="G26" s="169" t="s">
        <v>710</v>
      </c>
      <c r="H26" s="45" t="s">
        <v>184</v>
      </c>
      <c r="I26" s="64" t="s">
        <v>320</v>
      </c>
      <c r="J26" s="171"/>
    </row>
    <row r="27" spans="1:10" ht="30" customHeight="1" x14ac:dyDescent="0.25">
      <c r="A27" s="172" t="s">
        <v>322</v>
      </c>
      <c r="B27" s="98" t="s">
        <v>326</v>
      </c>
      <c r="C27" s="49" t="s">
        <v>499</v>
      </c>
      <c r="D27" s="173" t="s">
        <v>755</v>
      </c>
      <c r="E27" s="161" t="s">
        <v>446</v>
      </c>
      <c r="F27" s="168" t="s">
        <v>756</v>
      </c>
      <c r="G27" s="169" t="s">
        <v>710</v>
      </c>
      <c r="H27" s="45" t="s">
        <v>184</v>
      </c>
      <c r="I27" s="64" t="s">
        <v>320</v>
      </c>
      <c r="J27" s="171"/>
    </row>
    <row r="28" spans="1:10" ht="30" customHeight="1" x14ac:dyDescent="0.25">
      <c r="A28" s="165" t="s">
        <v>322</v>
      </c>
      <c r="B28" s="98" t="s">
        <v>326</v>
      </c>
      <c r="C28" s="65" t="s">
        <v>501</v>
      </c>
      <c r="D28" s="166" t="s">
        <v>757</v>
      </c>
      <c r="E28" s="167" t="s">
        <v>442</v>
      </c>
      <c r="F28" s="168" t="s">
        <v>758</v>
      </c>
      <c r="G28" s="169" t="s">
        <v>750</v>
      </c>
      <c r="H28" s="45" t="s">
        <v>190</v>
      </c>
      <c r="I28" s="64" t="s">
        <v>320</v>
      </c>
      <c r="J28" s="171"/>
    </row>
    <row r="29" spans="1:10" ht="30" customHeight="1" x14ac:dyDescent="0.25">
      <c r="A29" s="172" t="s">
        <v>322</v>
      </c>
      <c r="B29" s="98" t="s">
        <v>326</v>
      </c>
      <c r="C29" s="49" t="s">
        <v>503</v>
      </c>
      <c r="D29" s="173" t="s">
        <v>759</v>
      </c>
      <c r="E29" s="161" t="s">
        <v>446</v>
      </c>
      <c r="F29" s="168" t="s">
        <v>760</v>
      </c>
      <c r="G29" s="169" t="s">
        <v>710</v>
      </c>
      <c r="H29" s="45" t="s">
        <v>184</v>
      </c>
      <c r="I29" s="64" t="s">
        <v>320</v>
      </c>
      <c r="J29" s="171"/>
    </row>
    <row r="30" spans="1:10" ht="30" customHeight="1" x14ac:dyDescent="0.25">
      <c r="A30" s="165" t="s">
        <v>322</v>
      </c>
      <c r="B30" s="98" t="s">
        <v>326</v>
      </c>
      <c r="C30" s="65" t="s">
        <v>505</v>
      </c>
      <c r="D30" s="166" t="s">
        <v>761</v>
      </c>
      <c r="E30" s="167" t="s">
        <v>442</v>
      </c>
      <c r="F30" s="168" t="s">
        <v>762</v>
      </c>
      <c r="G30" s="169" t="s">
        <v>750</v>
      </c>
      <c r="H30" s="45" t="s">
        <v>190</v>
      </c>
      <c r="I30" s="64" t="s">
        <v>320</v>
      </c>
      <c r="J30" s="171"/>
    </row>
    <row r="31" spans="1:10" ht="30" customHeight="1" x14ac:dyDescent="0.25">
      <c r="A31" s="172" t="s">
        <v>322</v>
      </c>
      <c r="B31" s="98" t="s">
        <v>326</v>
      </c>
      <c r="C31" s="49" t="s">
        <v>507</v>
      </c>
      <c r="D31" s="173" t="s">
        <v>763</v>
      </c>
      <c r="E31" s="161" t="s">
        <v>446</v>
      </c>
      <c r="F31" s="168" t="s">
        <v>764</v>
      </c>
      <c r="G31" s="169" t="s">
        <v>710</v>
      </c>
      <c r="H31" s="45" t="s">
        <v>184</v>
      </c>
      <c r="I31" s="64" t="s">
        <v>320</v>
      </c>
      <c r="J31" s="171"/>
    </row>
    <row r="32" spans="1:10" ht="30" customHeight="1" x14ac:dyDescent="0.25">
      <c r="A32" s="172" t="s">
        <v>322</v>
      </c>
      <c r="B32" s="98" t="s">
        <v>326</v>
      </c>
      <c r="C32" s="49" t="s">
        <v>508</v>
      </c>
      <c r="D32" s="173" t="s">
        <v>765</v>
      </c>
      <c r="E32" s="161" t="s">
        <v>446</v>
      </c>
      <c r="F32" s="168" t="s">
        <v>766</v>
      </c>
      <c r="G32" s="169" t="s">
        <v>710</v>
      </c>
      <c r="H32" s="45" t="s">
        <v>187</v>
      </c>
      <c r="I32" s="64" t="s">
        <v>320</v>
      </c>
      <c r="J32" s="171"/>
    </row>
    <row r="33" spans="1:10" ht="30" customHeight="1" x14ac:dyDescent="0.25">
      <c r="A33" s="165" t="s">
        <v>322</v>
      </c>
      <c r="B33" s="98" t="s">
        <v>326</v>
      </c>
      <c r="C33" s="65" t="s">
        <v>510</v>
      </c>
      <c r="D33" s="166" t="s">
        <v>767</v>
      </c>
      <c r="E33" s="167" t="s">
        <v>442</v>
      </c>
      <c r="F33" s="168" t="s">
        <v>768</v>
      </c>
      <c r="G33" s="169" t="s">
        <v>727</v>
      </c>
      <c r="H33" s="45" t="s">
        <v>190</v>
      </c>
      <c r="I33" s="64" t="s">
        <v>320</v>
      </c>
      <c r="J33" s="171"/>
    </row>
    <row r="34" spans="1:10" ht="30" customHeight="1" x14ac:dyDescent="0.25">
      <c r="A34" s="172" t="s">
        <v>322</v>
      </c>
      <c r="B34" s="98" t="s">
        <v>326</v>
      </c>
      <c r="C34" s="49" t="s">
        <v>512</v>
      </c>
      <c r="D34" s="173" t="s">
        <v>769</v>
      </c>
      <c r="E34" s="161" t="s">
        <v>446</v>
      </c>
      <c r="F34" s="168" t="s">
        <v>770</v>
      </c>
      <c r="G34" s="169" t="s">
        <v>710</v>
      </c>
      <c r="H34" s="45" t="s">
        <v>184</v>
      </c>
      <c r="I34" s="64" t="s">
        <v>320</v>
      </c>
      <c r="J34" s="171"/>
    </row>
    <row r="35" spans="1:10" ht="30" customHeight="1" x14ac:dyDescent="0.25">
      <c r="A35" s="172" t="s">
        <v>322</v>
      </c>
      <c r="B35" s="98" t="s">
        <v>326</v>
      </c>
      <c r="C35" s="49" t="s">
        <v>514</v>
      </c>
      <c r="D35" s="173" t="s">
        <v>771</v>
      </c>
      <c r="E35" s="161" t="s">
        <v>446</v>
      </c>
      <c r="F35" s="168" t="s">
        <v>772</v>
      </c>
      <c r="G35" s="169" t="s">
        <v>710</v>
      </c>
      <c r="H35" s="45" t="s">
        <v>184</v>
      </c>
      <c r="I35" s="64" t="s">
        <v>320</v>
      </c>
      <c r="J35" s="171"/>
    </row>
    <row r="36" spans="1:10" ht="30" customHeight="1" x14ac:dyDescent="0.25">
      <c r="A36" s="172" t="s">
        <v>322</v>
      </c>
      <c r="B36" s="98" t="s">
        <v>326</v>
      </c>
      <c r="C36" s="49" t="s">
        <v>515</v>
      </c>
      <c r="D36" s="173" t="s">
        <v>773</v>
      </c>
      <c r="E36" s="161" t="s">
        <v>446</v>
      </c>
      <c r="F36" s="168" t="s">
        <v>774</v>
      </c>
      <c r="G36" s="169" t="s">
        <v>710</v>
      </c>
      <c r="H36" s="45" t="s">
        <v>184</v>
      </c>
      <c r="I36" s="174" t="s">
        <v>342</v>
      </c>
      <c r="J36" s="171"/>
    </row>
    <row r="37" spans="1:10" ht="30" customHeight="1" x14ac:dyDescent="0.25">
      <c r="A37" s="165" t="s">
        <v>322</v>
      </c>
      <c r="B37" s="98" t="s">
        <v>326</v>
      </c>
      <c r="C37" s="65" t="s">
        <v>517</v>
      </c>
      <c r="D37" s="166" t="s">
        <v>775</v>
      </c>
      <c r="E37" s="167" t="s">
        <v>442</v>
      </c>
      <c r="F37" s="168" t="s">
        <v>776</v>
      </c>
      <c r="G37" s="169" t="s">
        <v>727</v>
      </c>
      <c r="H37" s="45" t="s">
        <v>187</v>
      </c>
      <c r="I37" s="64" t="s">
        <v>320</v>
      </c>
      <c r="J37" s="171"/>
    </row>
    <row r="38" spans="1:10" ht="30" customHeight="1" x14ac:dyDescent="0.25">
      <c r="A38" s="172" t="s">
        <v>322</v>
      </c>
      <c r="B38" s="98" t="s">
        <v>326</v>
      </c>
      <c r="C38" s="49" t="s">
        <v>519</v>
      </c>
      <c r="D38" s="173" t="s">
        <v>777</v>
      </c>
      <c r="E38" s="161" t="s">
        <v>446</v>
      </c>
      <c r="F38" s="168" t="s">
        <v>778</v>
      </c>
      <c r="G38" s="169" t="s">
        <v>710</v>
      </c>
      <c r="H38" s="45" t="s">
        <v>184</v>
      </c>
      <c r="I38" s="64" t="s">
        <v>320</v>
      </c>
      <c r="J38" s="171"/>
    </row>
    <row r="39" spans="1:10" ht="30" customHeight="1" x14ac:dyDescent="0.25">
      <c r="A39" s="172" t="s">
        <v>322</v>
      </c>
      <c r="B39" s="98" t="s">
        <v>326</v>
      </c>
      <c r="C39" s="49" t="s">
        <v>521</v>
      </c>
      <c r="D39" s="173" t="s">
        <v>779</v>
      </c>
      <c r="E39" s="161" t="s">
        <v>446</v>
      </c>
      <c r="F39" s="168" t="s">
        <v>780</v>
      </c>
      <c r="G39" s="169" t="s">
        <v>710</v>
      </c>
      <c r="H39" s="45" t="s">
        <v>184</v>
      </c>
      <c r="I39" s="64" t="s">
        <v>320</v>
      </c>
      <c r="J39" s="171"/>
    </row>
    <row r="40" spans="1:10" ht="30" customHeight="1" x14ac:dyDescent="0.25">
      <c r="A40" s="165" t="s">
        <v>322</v>
      </c>
      <c r="B40" s="98" t="s">
        <v>326</v>
      </c>
      <c r="C40" s="65" t="s">
        <v>522</v>
      </c>
      <c r="D40" s="166" t="s">
        <v>781</v>
      </c>
      <c r="E40" s="167" t="s">
        <v>442</v>
      </c>
      <c r="F40" s="168" t="s">
        <v>782</v>
      </c>
      <c r="G40" s="169" t="s">
        <v>727</v>
      </c>
      <c r="H40" s="170" t="s">
        <v>196</v>
      </c>
      <c r="I40" s="64" t="s">
        <v>320</v>
      </c>
      <c r="J40" s="171"/>
    </row>
    <row r="41" spans="1:10" ht="30" customHeight="1" x14ac:dyDescent="0.25">
      <c r="A41" s="172" t="s">
        <v>322</v>
      </c>
      <c r="B41" s="98" t="s">
        <v>326</v>
      </c>
      <c r="C41" s="49" t="s">
        <v>524</v>
      </c>
      <c r="D41" s="173" t="s">
        <v>783</v>
      </c>
      <c r="E41" s="161" t="s">
        <v>446</v>
      </c>
      <c r="F41" s="168" t="s">
        <v>784</v>
      </c>
      <c r="G41" s="169" t="s">
        <v>710</v>
      </c>
      <c r="H41" s="45" t="s">
        <v>187</v>
      </c>
      <c r="I41" s="64" t="s">
        <v>320</v>
      </c>
      <c r="J41" s="171"/>
    </row>
    <row r="42" spans="1:10" ht="30" customHeight="1" x14ac:dyDescent="0.25">
      <c r="A42" s="172" t="s">
        <v>322</v>
      </c>
      <c r="B42" s="98" t="s">
        <v>326</v>
      </c>
      <c r="C42" s="49" t="s">
        <v>525</v>
      </c>
      <c r="D42" s="173" t="s">
        <v>785</v>
      </c>
      <c r="E42" s="161" t="s">
        <v>446</v>
      </c>
      <c r="F42" s="168" t="s">
        <v>786</v>
      </c>
      <c r="G42" s="169" t="s">
        <v>710</v>
      </c>
      <c r="H42" s="45" t="s">
        <v>187</v>
      </c>
      <c r="I42" s="64" t="s">
        <v>320</v>
      </c>
      <c r="J42" s="171"/>
    </row>
    <row r="43" spans="1:10" ht="30" customHeight="1" x14ac:dyDescent="0.25">
      <c r="A43" s="172" t="s">
        <v>322</v>
      </c>
      <c r="B43" s="98" t="s">
        <v>326</v>
      </c>
      <c r="C43" s="49" t="s">
        <v>527</v>
      </c>
      <c r="D43" s="173" t="s">
        <v>787</v>
      </c>
      <c r="E43" s="161" t="s">
        <v>446</v>
      </c>
      <c r="F43" s="168" t="s">
        <v>786</v>
      </c>
      <c r="G43" s="169" t="s">
        <v>710</v>
      </c>
      <c r="H43" s="45" t="s">
        <v>187</v>
      </c>
      <c r="I43" s="64" t="s">
        <v>320</v>
      </c>
      <c r="J43" s="171"/>
    </row>
    <row r="44" spans="1:10" ht="30" customHeight="1" x14ac:dyDescent="0.25">
      <c r="A44" s="165" t="s">
        <v>327</v>
      </c>
      <c r="B44" s="98" t="s">
        <v>331</v>
      </c>
      <c r="C44" s="65" t="s">
        <v>538</v>
      </c>
      <c r="D44" s="166" t="s">
        <v>788</v>
      </c>
      <c r="E44" s="167" t="s">
        <v>442</v>
      </c>
      <c r="F44" s="168" t="s">
        <v>789</v>
      </c>
      <c r="G44" s="169" t="s">
        <v>750</v>
      </c>
      <c r="H44" s="170" t="s">
        <v>790</v>
      </c>
      <c r="I44" s="64" t="s">
        <v>320</v>
      </c>
      <c r="J44" s="171"/>
    </row>
    <row r="45" spans="1:10" ht="30" customHeight="1" x14ac:dyDescent="0.25">
      <c r="A45" s="172" t="s">
        <v>327</v>
      </c>
      <c r="B45" s="98" t="s">
        <v>331</v>
      </c>
      <c r="C45" s="49" t="s">
        <v>540</v>
      </c>
      <c r="D45" s="173" t="s">
        <v>791</v>
      </c>
      <c r="E45" s="161" t="s">
        <v>446</v>
      </c>
      <c r="F45" s="168" t="s">
        <v>792</v>
      </c>
      <c r="G45" s="169" t="s">
        <v>710</v>
      </c>
      <c r="H45" s="45" t="s">
        <v>187</v>
      </c>
      <c r="I45" s="64" t="s">
        <v>320</v>
      </c>
      <c r="J45" s="171"/>
    </row>
    <row r="46" spans="1:10" ht="30" customHeight="1" x14ac:dyDescent="0.25">
      <c r="A46" s="172" t="s">
        <v>327</v>
      </c>
      <c r="B46" s="98" t="s">
        <v>331</v>
      </c>
      <c r="C46" s="49" t="s">
        <v>542</v>
      </c>
      <c r="D46" s="173" t="s">
        <v>793</v>
      </c>
      <c r="E46" s="161" t="s">
        <v>446</v>
      </c>
      <c r="F46" s="168" t="s">
        <v>794</v>
      </c>
      <c r="G46" s="169" t="s">
        <v>710</v>
      </c>
      <c r="H46" s="45" t="s">
        <v>187</v>
      </c>
      <c r="I46" s="64" t="s">
        <v>320</v>
      </c>
      <c r="J46" s="171"/>
    </row>
    <row r="47" spans="1:10" ht="30" customHeight="1" x14ac:dyDescent="0.25">
      <c r="A47" s="172" t="s">
        <v>327</v>
      </c>
      <c r="B47" s="98" t="s">
        <v>331</v>
      </c>
      <c r="C47" s="49" t="s">
        <v>544</v>
      </c>
      <c r="D47" s="173" t="s">
        <v>795</v>
      </c>
      <c r="E47" s="161" t="s">
        <v>446</v>
      </c>
      <c r="F47" s="168" t="s">
        <v>796</v>
      </c>
      <c r="G47" s="169" t="s">
        <v>710</v>
      </c>
      <c r="H47" s="45" t="s">
        <v>187</v>
      </c>
      <c r="I47" s="64" t="s">
        <v>320</v>
      </c>
      <c r="J47" s="171"/>
    </row>
    <row r="48" spans="1:10" ht="30" customHeight="1" x14ac:dyDescent="0.25">
      <c r="A48" s="172" t="s">
        <v>327</v>
      </c>
      <c r="B48" s="98" t="s">
        <v>331</v>
      </c>
      <c r="C48" s="49" t="s">
        <v>546</v>
      </c>
      <c r="D48" s="173" t="s">
        <v>797</v>
      </c>
      <c r="E48" s="161" t="s">
        <v>446</v>
      </c>
      <c r="F48" s="168" t="s">
        <v>798</v>
      </c>
      <c r="G48" s="169" t="s">
        <v>710</v>
      </c>
      <c r="H48" s="45" t="s">
        <v>190</v>
      </c>
      <c r="I48" s="64" t="s">
        <v>320</v>
      </c>
      <c r="J48" s="171"/>
    </row>
    <row r="49" spans="1:10" ht="30" customHeight="1" x14ac:dyDescent="0.25">
      <c r="A49" s="172" t="s">
        <v>327</v>
      </c>
      <c r="B49" s="98" t="s">
        <v>331</v>
      </c>
      <c r="C49" s="49" t="s">
        <v>548</v>
      </c>
      <c r="D49" s="173" t="s">
        <v>799</v>
      </c>
      <c r="E49" s="161" t="s">
        <v>446</v>
      </c>
      <c r="F49" s="168" t="s">
        <v>800</v>
      </c>
      <c r="G49" s="169" t="s">
        <v>710</v>
      </c>
      <c r="H49" s="45" t="s">
        <v>184</v>
      </c>
      <c r="I49" s="64" t="s">
        <v>320</v>
      </c>
      <c r="J49" s="171"/>
    </row>
    <row r="50" spans="1:10" ht="30" customHeight="1" x14ac:dyDescent="0.25">
      <c r="A50" s="165" t="s">
        <v>327</v>
      </c>
      <c r="B50" s="98" t="s">
        <v>331</v>
      </c>
      <c r="C50" s="65" t="s">
        <v>550</v>
      </c>
      <c r="D50" s="166" t="s">
        <v>801</v>
      </c>
      <c r="E50" s="167" t="s">
        <v>442</v>
      </c>
      <c r="F50" s="168" t="s">
        <v>802</v>
      </c>
      <c r="G50" s="169" t="s">
        <v>750</v>
      </c>
      <c r="H50" s="45" t="s">
        <v>190</v>
      </c>
      <c r="I50" s="64" t="s">
        <v>320</v>
      </c>
      <c r="J50" s="171"/>
    </row>
    <row r="51" spans="1:10" ht="30" customHeight="1" x14ac:dyDescent="0.25">
      <c r="A51" s="172" t="s">
        <v>327</v>
      </c>
      <c r="B51" s="98" t="s">
        <v>331</v>
      </c>
      <c r="C51" s="49" t="s">
        <v>552</v>
      </c>
      <c r="D51" s="173" t="s">
        <v>803</v>
      </c>
      <c r="E51" s="161" t="s">
        <v>446</v>
      </c>
      <c r="F51" s="168" t="s">
        <v>804</v>
      </c>
      <c r="G51" s="169" t="s">
        <v>710</v>
      </c>
      <c r="H51" s="45" t="s">
        <v>184</v>
      </c>
      <c r="I51" s="64" t="s">
        <v>320</v>
      </c>
      <c r="J51" s="171"/>
    </row>
    <row r="52" spans="1:10" ht="30" customHeight="1" x14ac:dyDescent="0.25">
      <c r="A52" s="165" t="s">
        <v>327</v>
      </c>
      <c r="B52" s="98" t="s">
        <v>331</v>
      </c>
      <c r="C52" s="65" t="s">
        <v>554</v>
      </c>
      <c r="D52" s="166" t="s">
        <v>805</v>
      </c>
      <c r="E52" s="167" t="s">
        <v>442</v>
      </c>
      <c r="F52" s="168" t="s">
        <v>806</v>
      </c>
      <c r="G52" s="169" t="s">
        <v>750</v>
      </c>
      <c r="H52" s="45" t="s">
        <v>187</v>
      </c>
      <c r="I52" s="64" t="s">
        <v>320</v>
      </c>
      <c r="J52" s="171"/>
    </row>
    <row r="53" spans="1:10" ht="30" customHeight="1" x14ac:dyDescent="0.25">
      <c r="A53" s="172" t="s">
        <v>327</v>
      </c>
      <c r="B53" s="98" t="s">
        <v>331</v>
      </c>
      <c r="C53" s="49" t="s">
        <v>556</v>
      </c>
      <c r="D53" s="173" t="s">
        <v>807</v>
      </c>
      <c r="E53" s="161" t="s">
        <v>446</v>
      </c>
      <c r="F53" s="168" t="s">
        <v>808</v>
      </c>
      <c r="G53" s="169" t="s">
        <v>710</v>
      </c>
      <c r="H53" s="45" t="s">
        <v>184</v>
      </c>
      <c r="I53" s="64" t="s">
        <v>320</v>
      </c>
      <c r="J53" s="171"/>
    </row>
    <row r="54" spans="1:10" ht="30" customHeight="1" x14ac:dyDescent="0.25">
      <c r="A54" s="165" t="s">
        <v>327</v>
      </c>
      <c r="B54" s="98" t="s">
        <v>331</v>
      </c>
      <c r="C54" s="65" t="s">
        <v>557</v>
      </c>
      <c r="D54" s="166" t="s">
        <v>809</v>
      </c>
      <c r="E54" s="167" t="s">
        <v>442</v>
      </c>
      <c r="F54" s="168" t="s">
        <v>810</v>
      </c>
      <c r="G54" s="169" t="s">
        <v>727</v>
      </c>
      <c r="H54" s="170" t="s">
        <v>196</v>
      </c>
      <c r="I54" s="64" t="s">
        <v>320</v>
      </c>
      <c r="J54" s="171"/>
    </row>
    <row r="55" spans="1:10" ht="30" customHeight="1" x14ac:dyDescent="0.25">
      <c r="A55" s="172" t="s">
        <v>327</v>
      </c>
      <c r="B55" s="98" t="s">
        <v>331</v>
      </c>
      <c r="C55" s="49" t="s">
        <v>559</v>
      </c>
      <c r="D55" s="173" t="s">
        <v>811</v>
      </c>
      <c r="E55" s="161" t="s">
        <v>446</v>
      </c>
      <c r="F55" s="168" t="s">
        <v>812</v>
      </c>
      <c r="G55" s="169" t="s">
        <v>710</v>
      </c>
      <c r="H55" s="45" t="s">
        <v>184</v>
      </c>
      <c r="I55" s="64" t="s">
        <v>320</v>
      </c>
      <c r="J55" s="171"/>
    </row>
    <row r="56" spans="1:10" ht="30" customHeight="1" x14ac:dyDescent="0.25">
      <c r="A56" s="172" t="s">
        <v>327</v>
      </c>
      <c r="B56" s="98" t="s">
        <v>331</v>
      </c>
      <c r="C56" s="49" t="s">
        <v>561</v>
      </c>
      <c r="D56" s="173" t="s">
        <v>813</v>
      </c>
      <c r="E56" s="161" t="s">
        <v>446</v>
      </c>
      <c r="F56" s="168" t="s">
        <v>814</v>
      </c>
      <c r="G56" s="169" t="s">
        <v>710</v>
      </c>
      <c r="H56" s="45" t="s">
        <v>187</v>
      </c>
      <c r="I56" s="64" t="s">
        <v>320</v>
      </c>
      <c r="J56" s="171"/>
    </row>
    <row r="57" spans="1:10" ht="30" customHeight="1" x14ac:dyDescent="0.25">
      <c r="A57" s="172" t="s">
        <v>327</v>
      </c>
      <c r="B57" s="98" t="s">
        <v>331</v>
      </c>
      <c r="C57" s="49" t="s">
        <v>563</v>
      </c>
      <c r="D57" s="173" t="s">
        <v>815</v>
      </c>
      <c r="E57" s="161" t="s">
        <v>446</v>
      </c>
      <c r="F57" s="168" t="s">
        <v>816</v>
      </c>
      <c r="G57" s="169" t="s">
        <v>710</v>
      </c>
      <c r="H57" s="45" t="s">
        <v>184</v>
      </c>
      <c r="I57" s="64" t="s">
        <v>320</v>
      </c>
      <c r="J57" s="171"/>
    </row>
    <row r="58" spans="1:10" ht="30" customHeight="1" x14ac:dyDescent="0.25">
      <c r="A58" s="165" t="s">
        <v>327</v>
      </c>
      <c r="B58" s="98" t="s">
        <v>331</v>
      </c>
      <c r="C58" s="65" t="s">
        <v>564</v>
      </c>
      <c r="D58" s="166" t="s">
        <v>817</v>
      </c>
      <c r="E58" s="167" t="s">
        <v>442</v>
      </c>
      <c r="F58" s="168" t="s">
        <v>818</v>
      </c>
      <c r="G58" s="169" t="s">
        <v>727</v>
      </c>
      <c r="H58" s="170" t="s">
        <v>196</v>
      </c>
      <c r="I58" s="64" t="s">
        <v>320</v>
      </c>
      <c r="J58" s="171"/>
    </row>
    <row r="59" spans="1:10" ht="30" customHeight="1" x14ac:dyDescent="0.25">
      <c r="A59" s="172" t="s">
        <v>327</v>
      </c>
      <c r="B59" s="98" t="s">
        <v>331</v>
      </c>
      <c r="C59" s="49" t="s">
        <v>566</v>
      </c>
      <c r="D59" s="173" t="s">
        <v>819</v>
      </c>
      <c r="E59" s="161" t="s">
        <v>446</v>
      </c>
      <c r="F59" s="168" t="s">
        <v>820</v>
      </c>
      <c r="G59" s="169" t="s">
        <v>710</v>
      </c>
      <c r="H59" s="45" t="s">
        <v>187</v>
      </c>
      <c r="I59" s="64" t="s">
        <v>320</v>
      </c>
      <c r="J59" s="171"/>
    </row>
    <row r="60" spans="1:10" ht="30" customHeight="1" x14ac:dyDescent="0.25">
      <c r="A60" s="172" t="s">
        <v>327</v>
      </c>
      <c r="B60" s="98" t="s">
        <v>331</v>
      </c>
      <c r="C60" s="49" t="s">
        <v>568</v>
      </c>
      <c r="D60" s="173" t="s">
        <v>821</v>
      </c>
      <c r="E60" s="161" t="s">
        <v>446</v>
      </c>
      <c r="F60" s="168" t="s">
        <v>822</v>
      </c>
      <c r="G60" s="169" t="s">
        <v>710</v>
      </c>
      <c r="H60" s="45" t="s">
        <v>187</v>
      </c>
      <c r="I60" s="64" t="s">
        <v>320</v>
      </c>
      <c r="J60" s="171"/>
    </row>
    <row r="61" spans="1:10" ht="30" customHeight="1" x14ac:dyDescent="0.25">
      <c r="A61" s="172" t="s">
        <v>327</v>
      </c>
      <c r="B61" s="98" t="s">
        <v>331</v>
      </c>
      <c r="C61" s="49" t="s">
        <v>570</v>
      </c>
      <c r="D61" s="173" t="s">
        <v>823</v>
      </c>
      <c r="E61" s="161" t="s">
        <v>446</v>
      </c>
      <c r="F61" s="168" t="s">
        <v>824</v>
      </c>
      <c r="G61" s="169" t="s">
        <v>710</v>
      </c>
      <c r="H61" s="45" t="s">
        <v>187</v>
      </c>
      <c r="I61" s="64" t="s">
        <v>320</v>
      </c>
      <c r="J61" s="171"/>
    </row>
    <row r="62" spans="1:10" ht="30" customHeight="1" x14ac:dyDescent="0.25">
      <c r="A62" s="165" t="s">
        <v>332</v>
      </c>
      <c r="B62" s="98" t="s">
        <v>336</v>
      </c>
      <c r="C62" s="65" t="s">
        <v>582</v>
      </c>
      <c r="D62" s="166" t="s">
        <v>825</v>
      </c>
      <c r="E62" s="167" t="s">
        <v>442</v>
      </c>
      <c r="F62" s="168" t="s">
        <v>826</v>
      </c>
      <c r="G62" s="169" t="s">
        <v>827</v>
      </c>
      <c r="H62" s="170" t="s">
        <v>196</v>
      </c>
      <c r="I62" s="64" t="s">
        <v>320</v>
      </c>
      <c r="J62" s="171"/>
    </row>
    <row r="63" spans="1:10" ht="30" customHeight="1" x14ac:dyDescent="0.25">
      <c r="A63" s="172" t="s">
        <v>332</v>
      </c>
      <c r="B63" s="98" t="s">
        <v>336</v>
      </c>
      <c r="C63" s="49" t="s">
        <v>584</v>
      </c>
      <c r="D63" s="173" t="s">
        <v>828</v>
      </c>
      <c r="E63" s="161" t="s">
        <v>446</v>
      </c>
      <c r="F63" s="168" t="s">
        <v>829</v>
      </c>
      <c r="G63" s="169" t="s">
        <v>830</v>
      </c>
      <c r="H63" s="45" t="s">
        <v>187</v>
      </c>
      <c r="I63" s="64" t="s">
        <v>320</v>
      </c>
      <c r="J63" s="171"/>
    </row>
    <row r="64" spans="1:10" ht="30" customHeight="1" x14ac:dyDescent="0.25">
      <c r="A64" s="172" t="s">
        <v>332</v>
      </c>
      <c r="B64" s="98" t="s">
        <v>336</v>
      </c>
      <c r="C64" s="49" t="s">
        <v>586</v>
      </c>
      <c r="D64" s="173" t="s">
        <v>831</v>
      </c>
      <c r="E64" s="161" t="s">
        <v>446</v>
      </c>
      <c r="F64" s="168" t="s">
        <v>832</v>
      </c>
      <c r="G64" s="169" t="s">
        <v>830</v>
      </c>
      <c r="H64" s="45" t="s">
        <v>184</v>
      </c>
      <c r="I64" s="64" t="s">
        <v>320</v>
      </c>
      <c r="J64" s="171"/>
    </row>
    <row r="65" spans="1:10" ht="30" customHeight="1" x14ac:dyDescent="0.25">
      <c r="A65" s="165" t="s">
        <v>332</v>
      </c>
      <c r="B65" s="98" t="s">
        <v>336</v>
      </c>
      <c r="C65" s="65" t="s">
        <v>588</v>
      </c>
      <c r="D65" s="166" t="s">
        <v>833</v>
      </c>
      <c r="E65" s="167" t="s">
        <v>442</v>
      </c>
      <c r="F65" s="168" t="s">
        <v>834</v>
      </c>
      <c r="G65" s="169" t="s">
        <v>827</v>
      </c>
      <c r="H65" s="170" t="s">
        <v>196</v>
      </c>
      <c r="I65" s="64" t="s">
        <v>320</v>
      </c>
      <c r="J65" s="171"/>
    </row>
    <row r="66" spans="1:10" ht="30" customHeight="1" x14ac:dyDescent="0.25">
      <c r="A66" s="172" t="s">
        <v>332</v>
      </c>
      <c r="B66" s="98" t="s">
        <v>336</v>
      </c>
      <c r="C66" s="49" t="s">
        <v>590</v>
      </c>
      <c r="D66" s="173" t="s">
        <v>835</v>
      </c>
      <c r="E66" s="161" t="s">
        <v>446</v>
      </c>
      <c r="F66" s="168" t="s">
        <v>836</v>
      </c>
      <c r="G66" s="169" t="s">
        <v>830</v>
      </c>
      <c r="H66" s="45" t="s">
        <v>187</v>
      </c>
      <c r="I66" s="64" t="s">
        <v>320</v>
      </c>
      <c r="J66" s="171"/>
    </row>
    <row r="67" spans="1:10" ht="30" customHeight="1" x14ac:dyDescent="0.25">
      <c r="A67" s="172" t="s">
        <v>332</v>
      </c>
      <c r="B67" s="98" t="s">
        <v>336</v>
      </c>
      <c r="C67" s="49" t="s">
        <v>591</v>
      </c>
      <c r="D67" s="173" t="s">
        <v>837</v>
      </c>
      <c r="E67" s="161" t="s">
        <v>446</v>
      </c>
      <c r="F67" s="168" t="s">
        <v>838</v>
      </c>
      <c r="G67" s="169" t="s">
        <v>830</v>
      </c>
      <c r="H67" s="45" t="s">
        <v>187</v>
      </c>
      <c r="I67" s="64" t="s">
        <v>320</v>
      </c>
      <c r="J67" s="171"/>
    </row>
    <row r="68" spans="1:10" ht="30" customHeight="1" x14ac:dyDescent="0.25">
      <c r="A68" s="165" t="s">
        <v>332</v>
      </c>
      <c r="B68" s="98" t="s">
        <v>336</v>
      </c>
      <c r="C68" s="65" t="s">
        <v>593</v>
      </c>
      <c r="D68" s="166" t="s">
        <v>839</v>
      </c>
      <c r="E68" s="167" t="s">
        <v>442</v>
      </c>
      <c r="F68" s="168" t="s">
        <v>840</v>
      </c>
      <c r="G68" s="169" t="s">
        <v>827</v>
      </c>
      <c r="H68" s="170" t="s">
        <v>196</v>
      </c>
      <c r="I68" s="64" t="s">
        <v>320</v>
      </c>
      <c r="J68" s="171"/>
    </row>
    <row r="69" spans="1:10" ht="30" customHeight="1" x14ac:dyDescent="0.25">
      <c r="A69" s="172" t="s">
        <v>332</v>
      </c>
      <c r="B69" s="98" t="s">
        <v>336</v>
      </c>
      <c r="C69" s="49" t="s">
        <v>595</v>
      </c>
      <c r="D69" s="173" t="s">
        <v>841</v>
      </c>
      <c r="E69" s="161" t="s">
        <v>446</v>
      </c>
      <c r="F69" s="168" t="s">
        <v>842</v>
      </c>
      <c r="G69" s="169" t="s">
        <v>830</v>
      </c>
      <c r="H69" s="45" t="s">
        <v>187</v>
      </c>
      <c r="I69" s="64" t="s">
        <v>320</v>
      </c>
      <c r="J69" s="171"/>
    </row>
    <row r="70" spans="1:10" ht="30" customHeight="1" x14ac:dyDescent="0.25">
      <c r="A70" s="172" t="s">
        <v>332</v>
      </c>
      <c r="B70" s="98" t="s">
        <v>336</v>
      </c>
      <c r="C70" s="49" t="s">
        <v>597</v>
      </c>
      <c r="D70" s="173" t="s">
        <v>843</v>
      </c>
      <c r="E70" s="161" t="s">
        <v>446</v>
      </c>
      <c r="F70" s="168" t="s">
        <v>844</v>
      </c>
      <c r="G70" s="169" t="s">
        <v>830</v>
      </c>
      <c r="H70" s="45" t="s">
        <v>187</v>
      </c>
      <c r="I70" s="64" t="s">
        <v>320</v>
      </c>
      <c r="J70" s="171"/>
    </row>
    <row r="71" spans="1:10" ht="30" customHeight="1" x14ac:dyDescent="0.25">
      <c r="A71" s="172" t="s">
        <v>332</v>
      </c>
      <c r="B71" s="98" t="s">
        <v>336</v>
      </c>
      <c r="C71" s="49" t="s">
        <v>599</v>
      </c>
      <c r="D71" s="173" t="s">
        <v>845</v>
      </c>
      <c r="E71" s="161" t="s">
        <v>446</v>
      </c>
      <c r="F71" s="168" t="s">
        <v>846</v>
      </c>
      <c r="G71" s="169" t="s">
        <v>830</v>
      </c>
      <c r="H71" s="45" t="s">
        <v>187</v>
      </c>
      <c r="I71" s="64" t="s">
        <v>320</v>
      </c>
      <c r="J71" s="171"/>
    </row>
    <row r="72" spans="1:10" ht="30" customHeight="1" x14ac:dyDescent="0.25">
      <c r="A72" s="165" t="s">
        <v>332</v>
      </c>
      <c r="B72" s="98" t="s">
        <v>336</v>
      </c>
      <c r="C72" s="65" t="s">
        <v>601</v>
      </c>
      <c r="D72" s="166" t="s">
        <v>847</v>
      </c>
      <c r="E72" s="167" t="s">
        <v>442</v>
      </c>
      <c r="F72" s="168" t="s">
        <v>848</v>
      </c>
      <c r="G72" s="169" t="s">
        <v>710</v>
      </c>
      <c r="H72" s="45" t="s">
        <v>190</v>
      </c>
      <c r="I72" s="64" t="s">
        <v>320</v>
      </c>
      <c r="J72" s="171"/>
    </row>
    <row r="73" spans="1:10" ht="30" customHeight="1" x14ac:dyDescent="0.25">
      <c r="A73" s="172" t="s">
        <v>332</v>
      </c>
      <c r="B73" s="98" t="s">
        <v>336</v>
      </c>
      <c r="C73" s="49" t="s">
        <v>603</v>
      </c>
      <c r="D73" s="173" t="s">
        <v>849</v>
      </c>
      <c r="E73" s="161" t="s">
        <v>446</v>
      </c>
      <c r="F73" s="168" t="s">
        <v>850</v>
      </c>
      <c r="G73" s="169" t="s">
        <v>710</v>
      </c>
      <c r="H73" s="45" t="s">
        <v>187</v>
      </c>
      <c r="I73" s="64" t="s">
        <v>320</v>
      </c>
      <c r="J73" s="171"/>
    </row>
    <row r="74" spans="1:10" ht="30" customHeight="1" x14ac:dyDescent="0.25">
      <c r="A74" s="172" t="s">
        <v>332</v>
      </c>
      <c r="B74" s="98" t="s">
        <v>336</v>
      </c>
      <c r="C74" s="49" t="s">
        <v>605</v>
      </c>
      <c r="D74" s="173" t="s">
        <v>851</v>
      </c>
      <c r="E74" s="161" t="s">
        <v>446</v>
      </c>
      <c r="F74" s="168" t="s">
        <v>852</v>
      </c>
      <c r="G74" s="169" t="s">
        <v>710</v>
      </c>
      <c r="H74" s="45" t="s">
        <v>184</v>
      </c>
      <c r="I74" s="64" t="s">
        <v>320</v>
      </c>
      <c r="J74" s="171"/>
    </row>
    <row r="75" spans="1:10" ht="30" customHeight="1" x14ac:dyDescent="0.25">
      <c r="A75" s="165" t="s">
        <v>332</v>
      </c>
      <c r="B75" s="98" t="s">
        <v>336</v>
      </c>
      <c r="C75" s="65" t="s">
        <v>607</v>
      </c>
      <c r="D75" s="166" t="s">
        <v>853</v>
      </c>
      <c r="E75" s="167" t="s">
        <v>442</v>
      </c>
      <c r="F75" s="168" t="s">
        <v>854</v>
      </c>
      <c r="G75" s="169" t="s">
        <v>727</v>
      </c>
      <c r="H75" s="45" t="s">
        <v>190</v>
      </c>
      <c r="I75" s="64" t="s">
        <v>320</v>
      </c>
      <c r="J75" s="171"/>
    </row>
    <row r="76" spans="1:10" ht="30" customHeight="1" x14ac:dyDescent="0.25">
      <c r="A76" s="172" t="s">
        <v>332</v>
      </c>
      <c r="B76" s="98" t="s">
        <v>336</v>
      </c>
      <c r="C76" s="49" t="s">
        <v>609</v>
      </c>
      <c r="D76" s="173" t="s">
        <v>855</v>
      </c>
      <c r="E76" s="161" t="s">
        <v>446</v>
      </c>
      <c r="F76" s="168" t="s">
        <v>856</v>
      </c>
      <c r="G76" s="169" t="s">
        <v>710</v>
      </c>
      <c r="H76" s="45" t="s">
        <v>187</v>
      </c>
      <c r="I76" s="64" t="s">
        <v>320</v>
      </c>
      <c r="J76" s="171"/>
    </row>
    <row r="77" spans="1:10" ht="30" customHeight="1" x14ac:dyDescent="0.25">
      <c r="A77" s="172" t="s">
        <v>332</v>
      </c>
      <c r="B77" s="98" t="s">
        <v>336</v>
      </c>
      <c r="C77" s="49" t="s">
        <v>611</v>
      </c>
      <c r="D77" s="173" t="s">
        <v>857</v>
      </c>
      <c r="E77" s="161" t="s">
        <v>446</v>
      </c>
      <c r="F77" s="168" t="s">
        <v>858</v>
      </c>
      <c r="G77" s="169" t="s">
        <v>710</v>
      </c>
      <c r="H77" s="45" t="s">
        <v>184</v>
      </c>
      <c r="I77" s="64" t="s">
        <v>320</v>
      </c>
      <c r="J77" s="171"/>
    </row>
    <row r="78" spans="1:10" ht="30" customHeight="1" x14ac:dyDescent="0.25">
      <c r="A78" s="172" t="s">
        <v>332</v>
      </c>
      <c r="B78" s="98" t="s">
        <v>336</v>
      </c>
      <c r="C78" s="49" t="s">
        <v>613</v>
      </c>
      <c r="D78" s="173" t="s">
        <v>859</v>
      </c>
      <c r="E78" s="161" t="s">
        <v>446</v>
      </c>
      <c r="F78" s="168" t="s">
        <v>860</v>
      </c>
      <c r="G78" s="169" t="s">
        <v>710</v>
      </c>
      <c r="H78" s="45" t="s">
        <v>187</v>
      </c>
      <c r="I78" s="64" t="s">
        <v>320</v>
      </c>
      <c r="J78" s="171"/>
    </row>
    <row r="79" spans="1:10" ht="30" customHeight="1" x14ac:dyDescent="0.25">
      <c r="A79" s="165" t="s">
        <v>332</v>
      </c>
      <c r="B79" s="98" t="s">
        <v>336</v>
      </c>
      <c r="C79" s="65" t="s">
        <v>615</v>
      </c>
      <c r="D79" s="166" t="s">
        <v>861</v>
      </c>
      <c r="E79" s="167" t="s">
        <v>442</v>
      </c>
      <c r="F79" s="168" t="s">
        <v>862</v>
      </c>
      <c r="G79" s="169" t="s">
        <v>863</v>
      </c>
      <c r="H79" s="45" t="s">
        <v>190</v>
      </c>
      <c r="I79" s="64" t="s">
        <v>320</v>
      </c>
      <c r="J79" s="171"/>
    </row>
    <row r="80" spans="1:10" ht="30" customHeight="1" x14ac:dyDescent="0.25">
      <c r="A80" s="172" t="s">
        <v>332</v>
      </c>
      <c r="B80" s="98" t="s">
        <v>336</v>
      </c>
      <c r="C80" s="49" t="s">
        <v>617</v>
      </c>
      <c r="D80" s="173" t="s">
        <v>864</v>
      </c>
      <c r="E80" s="161" t="s">
        <v>446</v>
      </c>
      <c r="F80" s="168" t="s">
        <v>865</v>
      </c>
      <c r="G80" s="169" t="s">
        <v>710</v>
      </c>
      <c r="H80" s="45" t="s">
        <v>187</v>
      </c>
      <c r="I80" s="64" t="s">
        <v>320</v>
      </c>
      <c r="J80" s="171"/>
    </row>
    <row r="81" spans="1:10" ht="30" customHeight="1" x14ac:dyDescent="0.25">
      <c r="A81" s="172" t="s">
        <v>332</v>
      </c>
      <c r="B81" s="98" t="s">
        <v>336</v>
      </c>
      <c r="C81" s="49" t="s">
        <v>619</v>
      </c>
      <c r="D81" s="173" t="s">
        <v>866</v>
      </c>
      <c r="E81" s="161" t="s">
        <v>446</v>
      </c>
      <c r="F81" s="168" t="s">
        <v>867</v>
      </c>
      <c r="G81" s="169" t="s">
        <v>710</v>
      </c>
      <c r="H81" s="45" t="s">
        <v>184</v>
      </c>
      <c r="I81" s="64" t="s">
        <v>320</v>
      </c>
      <c r="J81" s="171"/>
    </row>
    <row r="82" spans="1:10" ht="30" customHeight="1" x14ac:dyDescent="0.25">
      <c r="A82" s="172" t="s">
        <v>332</v>
      </c>
      <c r="B82" s="98" t="s">
        <v>336</v>
      </c>
      <c r="C82" s="49" t="s">
        <v>621</v>
      </c>
      <c r="D82" s="173" t="s">
        <v>868</v>
      </c>
      <c r="E82" s="161" t="s">
        <v>446</v>
      </c>
      <c r="F82" s="168" t="s">
        <v>869</v>
      </c>
      <c r="G82" s="169" t="s">
        <v>710</v>
      </c>
      <c r="H82" s="45" t="s">
        <v>184</v>
      </c>
      <c r="I82" s="64" t="s">
        <v>320</v>
      </c>
      <c r="J82" s="171"/>
    </row>
    <row r="83" spans="1:10" ht="30" customHeight="1" x14ac:dyDescent="0.25">
      <c r="A83" s="165" t="s">
        <v>332</v>
      </c>
      <c r="B83" s="98" t="s">
        <v>336</v>
      </c>
      <c r="C83" s="65" t="s">
        <v>623</v>
      </c>
      <c r="D83" s="166" t="s">
        <v>870</v>
      </c>
      <c r="E83" s="167" t="s">
        <v>442</v>
      </c>
      <c r="F83" s="168" t="s">
        <v>871</v>
      </c>
      <c r="G83" s="169" t="s">
        <v>827</v>
      </c>
      <c r="H83" s="170" t="s">
        <v>196</v>
      </c>
      <c r="I83" s="64" t="s">
        <v>320</v>
      </c>
      <c r="J83" s="171"/>
    </row>
    <row r="84" spans="1:10" ht="30" customHeight="1" x14ac:dyDescent="0.25">
      <c r="A84" s="172" t="s">
        <v>332</v>
      </c>
      <c r="B84" s="98" t="s">
        <v>336</v>
      </c>
      <c r="C84" s="49" t="s">
        <v>625</v>
      </c>
      <c r="D84" s="173" t="s">
        <v>872</v>
      </c>
      <c r="E84" s="161" t="s">
        <v>446</v>
      </c>
      <c r="F84" s="168" t="s">
        <v>873</v>
      </c>
      <c r="G84" s="169" t="s">
        <v>710</v>
      </c>
      <c r="H84" s="45" t="s">
        <v>187</v>
      </c>
      <c r="I84" s="64" t="s">
        <v>320</v>
      </c>
      <c r="J84" s="171"/>
    </row>
    <row r="85" spans="1:10" ht="30" customHeight="1" x14ac:dyDescent="0.25">
      <c r="A85" s="172" t="s">
        <v>332</v>
      </c>
      <c r="B85" s="98" t="s">
        <v>336</v>
      </c>
      <c r="C85" s="49" t="s">
        <v>627</v>
      </c>
      <c r="D85" s="173" t="s">
        <v>874</v>
      </c>
      <c r="E85" s="161" t="s">
        <v>446</v>
      </c>
      <c r="F85" s="168" t="s">
        <v>875</v>
      </c>
      <c r="G85" s="169" t="s">
        <v>830</v>
      </c>
      <c r="H85" s="45" t="s">
        <v>190</v>
      </c>
      <c r="I85" s="64" t="s">
        <v>320</v>
      </c>
      <c r="J85" s="171"/>
    </row>
    <row r="86" spans="1:10" ht="30" customHeight="1" x14ac:dyDescent="0.25">
      <c r="A86" s="165" t="s">
        <v>337</v>
      </c>
      <c r="B86" s="98" t="s">
        <v>341</v>
      </c>
      <c r="C86" s="65" t="s">
        <v>638</v>
      </c>
      <c r="D86" s="166" t="s">
        <v>876</v>
      </c>
      <c r="E86" s="167" t="s">
        <v>442</v>
      </c>
      <c r="F86" s="168" t="s">
        <v>877</v>
      </c>
      <c r="G86" s="169" t="s">
        <v>750</v>
      </c>
      <c r="H86" s="170" t="s">
        <v>196</v>
      </c>
      <c r="I86" s="174" t="s">
        <v>342</v>
      </c>
      <c r="J86" s="171"/>
    </row>
    <row r="87" spans="1:10" ht="30" customHeight="1" x14ac:dyDescent="0.25">
      <c r="A87" s="172" t="s">
        <v>337</v>
      </c>
      <c r="B87" s="98" t="s">
        <v>341</v>
      </c>
      <c r="C87" s="49" t="s">
        <v>640</v>
      </c>
      <c r="D87" s="173" t="s">
        <v>878</v>
      </c>
      <c r="E87" s="161" t="s">
        <v>446</v>
      </c>
      <c r="F87" s="168" t="s">
        <v>879</v>
      </c>
      <c r="G87" s="169" t="s">
        <v>710</v>
      </c>
      <c r="H87" s="45" t="s">
        <v>187</v>
      </c>
      <c r="I87" s="174" t="s">
        <v>342</v>
      </c>
      <c r="J87" s="171"/>
    </row>
    <row r="88" spans="1:10" ht="30" customHeight="1" x14ac:dyDescent="0.25">
      <c r="A88" s="172" t="s">
        <v>337</v>
      </c>
      <c r="B88" s="98" t="s">
        <v>341</v>
      </c>
      <c r="C88" s="49" t="s">
        <v>641</v>
      </c>
      <c r="D88" s="173" t="s">
        <v>880</v>
      </c>
      <c r="E88" s="161" t="s">
        <v>446</v>
      </c>
      <c r="F88" s="168" t="s">
        <v>881</v>
      </c>
      <c r="G88" s="169" t="s">
        <v>710</v>
      </c>
      <c r="H88" s="45" t="s">
        <v>187</v>
      </c>
      <c r="I88" s="174" t="s">
        <v>342</v>
      </c>
      <c r="J88" s="171"/>
    </row>
    <row r="89" spans="1:10" ht="30" customHeight="1" x14ac:dyDescent="0.25">
      <c r="A89" s="165" t="s">
        <v>337</v>
      </c>
      <c r="B89" s="98" t="s">
        <v>341</v>
      </c>
      <c r="C89" s="65" t="s">
        <v>643</v>
      </c>
      <c r="D89" s="166" t="s">
        <v>882</v>
      </c>
      <c r="E89" s="167" t="s">
        <v>442</v>
      </c>
      <c r="F89" s="168" t="s">
        <v>883</v>
      </c>
      <c r="G89" s="169" t="s">
        <v>727</v>
      </c>
      <c r="H89" s="45" t="s">
        <v>190</v>
      </c>
      <c r="I89" s="174" t="s">
        <v>342</v>
      </c>
      <c r="J89" s="171"/>
    </row>
    <row r="90" spans="1:10" ht="30" customHeight="1" x14ac:dyDescent="0.25">
      <c r="A90" s="172" t="s">
        <v>337</v>
      </c>
      <c r="B90" s="98" t="s">
        <v>341</v>
      </c>
      <c r="C90" s="49" t="s">
        <v>645</v>
      </c>
      <c r="D90" s="173" t="s">
        <v>884</v>
      </c>
      <c r="E90" s="161" t="s">
        <v>446</v>
      </c>
      <c r="F90" s="168" t="s">
        <v>885</v>
      </c>
      <c r="G90" s="169" t="s">
        <v>710</v>
      </c>
      <c r="H90" s="45" t="s">
        <v>190</v>
      </c>
      <c r="I90" s="174" t="s">
        <v>342</v>
      </c>
      <c r="J90" s="171"/>
    </row>
    <row r="91" spans="1:10" ht="30" customHeight="1" x14ac:dyDescent="0.25">
      <c r="A91" s="165" t="s">
        <v>337</v>
      </c>
      <c r="B91" s="98" t="s">
        <v>341</v>
      </c>
      <c r="C91" s="65" t="s">
        <v>647</v>
      </c>
      <c r="D91" s="166" t="s">
        <v>886</v>
      </c>
      <c r="E91" s="167" t="s">
        <v>442</v>
      </c>
      <c r="F91" s="168" t="s">
        <v>887</v>
      </c>
      <c r="G91" s="169" t="s">
        <v>750</v>
      </c>
      <c r="H91" s="170" t="s">
        <v>196</v>
      </c>
      <c r="I91" s="174" t="s">
        <v>342</v>
      </c>
      <c r="J91" s="171"/>
    </row>
    <row r="92" spans="1:10" ht="30" customHeight="1" x14ac:dyDescent="0.25">
      <c r="A92" s="172" t="s">
        <v>337</v>
      </c>
      <c r="B92" s="98" t="s">
        <v>341</v>
      </c>
      <c r="C92" s="49" t="s">
        <v>649</v>
      </c>
      <c r="D92" s="173" t="s">
        <v>888</v>
      </c>
      <c r="E92" s="161" t="s">
        <v>446</v>
      </c>
      <c r="F92" s="168" t="s">
        <v>889</v>
      </c>
      <c r="G92" s="169" t="s">
        <v>710</v>
      </c>
      <c r="H92" s="45" t="s">
        <v>187</v>
      </c>
      <c r="I92" s="174" t="s">
        <v>342</v>
      </c>
      <c r="J92" s="171"/>
    </row>
    <row r="93" spans="1:10" ht="30" customHeight="1" x14ac:dyDescent="0.25">
      <c r="A93" s="172" t="s">
        <v>337</v>
      </c>
      <c r="B93" s="98" t="s">
        <v>341</v>
      </c>
      <c r="C93" s="49" t="s">
        <v>650</v>
      </c>
      <c r="D93" s="173" t="s">
        <v>890</v>
      </c>
      <c r="E93" s="161" t="s">
        <v>446</v>
      </c>
      <c r="F93" s="168" t="s">
        <v>891</v>
      </c>
      <c r="G93" s="169" t="s">
        <v>710</v>
      </c>
      <c r="H93" s="45" t="s">
        <v>187</v>
      </c>
      <c r="I93" s="174" t="s">
        <v>342</v>
      </c>
      <c r="J93" s="171"/>
    </row>
    <row r="94" spans="1:10" ht="30" customHeight="1" x14ac:dyDescent="0.25">
      <c r="A94" s="165" t="s">
        <v>337</v>
      </c>
      <c r="B94" s="98" t="s">
        <v>341</v>
      </c>
      <c r="C94" s="65" t="s">
        <v>652</v>
      </c>
      <c r="D94" s="166" t="s">
        <v>892</v>
      </c>
      <c r="E94" s="167" t="s">
        <v>442</v>
      </c>
      <c r="F94" s="168" t="s">
        <v>893</v>
      </c>
      <c r="G94" s="169" t="s">
        <v>727</v>
      </c>
      <c r="H94" s="45" t="s">
        <v>190</v>
      </c>
      <c r="I94" s="174" t="s">
        <v>342</v>
      </c>
      <c r="J94" s="171"/>
    </row>
    <row r="95" spans="1:10" ht="30" customHeight="1" x14ac:dyDescent="0.25">
      <c r="A95" s="172" t="s">
        <v>337</v>
      </c>
      <c r="B95" s="98" t="s">
        <v>341</v>
      </c>
      <c r="C95" s="49" t="s">
        <v>654</v>
      </c>
      <c r="D95" s="173" t="s">
        <v>894</v>
      </c>
      <c r="E95" s="161" t="s">
        <v>446</v>
      </c>
      <c r="F95" s="168" t="s">
        <v>895</v>
      </c>
      <c r="G95" s="169" t="s">
        <v>710</v>
      </c>
      <c r="H95" s="45" t="s">
        <v>187</v>
      </c>
      <c r="I95" s="174" t="s">
        <v>342</v>
      </c>
      <c r="J95" s="171"/>
    </row>
    <row r="96" spans="1:10" ht="30" customHeight="1" x14ac:dyDescent="0.25">
      <c r="A96" s="165" t="s">
        <v>337</v>
      </c>
      <c r="B96" s="98" t="s">
        <v>341</v>
      </c>
      <c r="C96" s="65" t="s">
        <v>655</v>
      </c>
      <c r="D96" s="166" t="s">
        <v>896</v>
      </c>
      <c r="E96" s="167" t="s">
        <v>442</v>
      </c>
      <c r="F96" s="168" t="s">
        <v>897</v>
      </c>
      <c r="G96" s="169" t="s">
        <v>727</v>
      </c>
      <c r="H96" s="170" t="s">
        <v>196</v>
      </c>
      <c r="I96" s="174" t="s">
        <v>342</v>
      </c>
      <c r="J96" s="171"/>
    </row>
    <row r="97" spans="1:10" ht="30" customHeight="1" x14ac:dyDescent="0.25">
      <c r="A97" s="172" t="s">
        <v>337</v>
      </c>
      <c r="B97" s="98" t="s">
        <v>341</v>
      </c>
      <c r="C97" s="49" t="s">
        <v>657</v>
      </c>
      <c r="D97" s="173" t="s">
        <v>898</v>
      </c>
      <c r="E97" s="161" t="s">
        <v>446</v>
      </c>
      <c r="F97" s="168" t="s">
        <v>899</v>
      </c>
      <c r="G97" s="169" t="s">
        <v>710</v>
      </c>
      <c r="H97" s="45" t="s">
        <v>187</v>
      </c>
      <c r="I97" s="174" t="s">
        <v>342</v>
      </c>
      <c r="J97" s="171"/>
    </row>
    <row r="98" spans="1:10" ht="30" customHeight="1" x14ac:dyDescent="0.25">
      <c r="A98" s="172" t="s">
        <v>337</v>
      </c>
      <c r="B98" s="98" t="s">
        <v>341</v>
      </c>
      <c r="C98" s="49" t="s">
        <v>659</v>
      </c>
      <c r="D98" s="173" t="s">
        <v>900</v>
      </c>
      <c r="E98" s="161" t="s">
        <v>446</v>
      </c>
      <c r="F98" s="168" t="s">
        <v>901</v>
      </c>
      <c r="G98" s="169" t="s">
        <v>710</v>
      </c>
      <c r="H98" s="45" t="s">
        <v>187</v>
      </c>
      <c r="I98" s="174" t="s">
        <v>342</v>
      </c>
      <c r="J98" s="171"/>
    </row>
  </sheetData>
  <mergeCells count="2">
    <mergeCell ref="A1:J1"/>
    <mergeCell ref="A2:J2"/>
  </mergeCells>
  <conditionalFormatting sqref="D4:D98">
    <cfRule type="expression" dxfId="1" priority="3">
      <formula>$J4="✓"</formula>
    </cfRule>
  </conditionalFormatting>
  <conditionalFormatting sqref="J4:J98">
    <cfRule type="expression" dxfId="0" priority="2">
      <formula>$J4="✓"</formula>
    </cfRule>
  </conditionalFormatting>
  <dataValidations count="1">
    <dataValidation type="list" allowBlank="1" sqref="J4:J98" xr:uid="{00000000-0002-0000-0900-000000000000}">
      <formula1>"✓,"</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showGridLines="0" topLeftCell="A32" zoomScaleNormal="100" workbookViewId="0">
      <selection activeCell="D8" sqref="D8"/>
    </sheetView>
  </sheetViews>
  <sheetFormatPr baseColWidth="10" defaultColWidth="8.7109375" defaultRowHeight="15" x14ac:dyDescent="0.25"/>
  <cols>
    <col min="1" max="2" width="9" customWidth="1"/>
    <col min="3" max="3" width="40" customWidth="1"/>
    <col min="4" max="4" width="9" customWidth="1"/>
    <col min="5" max="9" width="17" customWidth="1"/>
  </cols>
  <sheetData>
    <row r="1" spans="1:9" ht="33.75" customHeight="1" x14ac:dyDescent="0.25">
      <c r="A1" s="216" t="s">
        <v>902</v>
      </c>
      <c r="B1" s="216"/>
      <c r="C1" s="216"/>
      <c r="D1" s="216"/>
      <c r="E1" s="216"/>
      <c r="F1" s="216"/>
      <c r="G1" s="216"/>
      <c r="H1" s="216"/>
      <c r="I1" s="216"/>
    </row>
    <row r="2" spans="1:9" ht="18" customHeight="1" x14ac:dyDescent="0.25">
      <c r="A2" s="214" t="s">
        <v>903</v>
      </c>
      <c r="B2" s="214"/>
      <c r="C2" s="214"/>
      <c r="D2" s="214"/>
      <c r="E2" s="214"/>
      <c r="F2" s="214"/>
      <c r="G2" s="214"/>
      <c r="H2" s="214"/>
      <c r="I2" s="214"/>
    </row>
    <row r="3" spans="1:9" ht="31.5" customHeight="1" x14ac:dyDescent="0.25">
      <c r="A3" s="175" t="s">
        <v>904</v>
      </c>
      <c r="B3" s="175" t="s">
        <v>286</v>
      </c>
      <c r="C3" s="175" t="s">
        <v>905</v>
      </c>
      <c r="D3" s="175" t="s">
        <v>418</v>
      </c>
      <c r="E3" s="176" t="s">
        <v>906</v>
      </c>
      <c r="F3" s="177" t="s">
        <v>907</v>
      </c>
      <c r="G3" s="178" t="s">
        <v>908</v>
      </c>
      <c r="H3" s="179" t="s">
        <v>909</v>
      </c>
      <c r="I3" s="180" t="s">
        <v>910</v>
      </c>
    </row>
    <row r="4" spans="1:9" ht="21.75" customHeight="1" x14ac:dyDescent="0.25">
      <c r="A4" s="165" t="s">
        <v>315</v>
      </c>
      <c r="B4" s="45" t="s">
        <v>443</v>
      </c>
      <c r="C4" s="181" t="s">
        <v>911</v>
      </c>
      <c r="D4" s="45" t="s">
        <v>6</v>
      </c>
      <c r="E4" s="182"/>
      <c r="F4" s="182"/>
      <c r="G4" s="183" t="s">
        <v>314</v>
      </c>
      <c r="H4" s="182"/>
      <c r="I4" s="182"/>
    </row>
    <row r="5" spans="1:9" ht="21.75" customHeight="1" x14ac:dyDescent="0.25">
      <c r="A5" s="165" t="s">
        <v>315</v>
      </c>
      <c r="B5" s="49" t="s">
        <v>447</v>
      </c>
      <c r="C5" s="173" t="s">
        <v>912</v>
      </c>
      <c r="D5" s="49" t="s">
        <v>6</v>
      </c>
      <c r="E5" s="182"/>
      <c r="F5" s="182"/>
      <c r="G5" s="183" t="s">
        <v>314</v>
      </c>
      <c r="H5" s="182"/>
      <c r="I5" s="182"/>
    </row>
    <row r="6" spans="1:9" ht="21.75" customHeight="1" x14ac:dyDescent="0.25">
      <c r="A6" s="165" t="s">
        <v>315</v>
      </c>
      <c r="B6" s="45" t="s">
        <v>449</v>
      </c>
      <c r="C6" s="181" t="s">
        <v>913</v>
      </c>
      <c r="D6" s="45" t="s">
        <v>6</v>
      </c>
      <c r="E6" s="182"/>
      <c r="F6" s="182"/>
      <c r="G6" s="183" t="s">
        <v>314</v>
      </c>
      <c r="H6" s="182"/>
      <c r="I6" s="182"/>
    </row>
    <row r="7" spans="1:9" ht="21.75" customHeight="1" x14ac:dyDescent="0.25">
      <c r="A7" s="165" t="s">
        <v>315</v>
      </c>
      <c r="B7" s="49" t="s">
        <v>451</v>
      </c>
      <c r="C7" s="173" t="s">
        <v>914</v>
      </c>
      <c r="D7" s="49" t="s">
        <v>6</v>
      </c>
      <c r="E7" s="182"/>
      <c r="F7" s="182"/>
      <c r="G7" s="182"/>
      <c r="H7" s="182"/>
      <c r="I7" s="182"/>
    </row>
    <row r="8" spans="1:9" ht="21.75" customHeight="1" x14ac:dyDescent="0.25">
      <c r="A8" s="165" t="s">
        <v>315</v>
      </c>
      <c r="B8" s="45" t="s">
        <v>453</v>
      </c>
      <c r="C8" s="181" t="s">
        <v>454</v>
      </c>
      <c r="D8" s="45" t="s">
        <v>3</v>
      </c>
      <c r="E8" s="182"/>
      <c r="F8" s="183" t="s">
        <v>314</v>
      </c>
      <c r="G8" s="182"/>
      <c r="H8" s="182"/>
      <c r="I8" s="182"/>
    </row>
    <row r="9" spans="1:9" ht="21.75" customHeight="1" x14ac:dyDescent="0.25">
      <c r="A9" s="165" t="s">
        <v>315</v>
      </c>
      <c r="B9" s="49" t="s">
        <v>455</v>
      </c>
      <c r="C9" s="173" t="s">
        <v>915</v>
      </c>
      <c r="D9" s="49" t="s">
        <v>3</v>
      </c>
      <c r="E9" s="182"/>
      <c r="F9" s="183" t="s">
        <v>314</v>
      </c>
      <c r="G9" s="182"/>
      <c r="H9" s="182"/>
      <c r="I9" s="182"/>
    </row>
    <row r="10" spans="1:9" ht="21.75" customHeight="1" x14ac:dyDescent="0.25">
      <c r="A10" s="165" t="s">
        <v>315</v>
      </c>
      <c r="B10" s="45" t="s">
        <v>457</v>
      </c>
      <c r="C10" s="181" t="s">
        <v>916</v>
      </c>
      <c r="D10" s="45" t="s">
        <v>6</v>
      </c>
      <c r="E10" s="182"/>
      <c r="F10" s="182"/>
      <c r="G10" s="182"/>
      <c r="H10" s="183" t="s">
        <v>314</v>
      </c>
      <c r="I10" s="182"/>
    </row>
    <row r="11" spans="1:9" ht="21.75" customHeight="1" x14ac:dyDescent="0.25">
      <c r="A11" s="165" t="s">
        <v>315</v>
      </c>
      <c r="B11" s="49" t="s">
        <v>459</v>
      </c>
      <c r="C11" s="173" t="s">
        <v>917</v>
      </c>
      <c r="D11" s="49" t="s">
        <v>6</v>
      </c>
      <c r="E11" s="182"/>
      <c r="F11" s="182"/>
      <c r="G11" s="182"/>
      <c r="H11" s="183" t="s">
        <v>314</v>
      </c>
      <c r="I11" s="182"/>
    </row>
    <row r="12" spans="1:9" ht="21.75" customHeight="1" x14ac:dyDescent="0.25">
      <c r="A12" s="165" t="s">
        <v>315</v>
      </c>
      <c r="B12" s="45" t="s">
        <v>461</v>
      </c>
      <c r="C12" s="181" t="s">
        <v>918</v>
      </c>
      <c r="D12" s="45" t="s">
        <v>6</v>
      </c>
      <c r="E12" s="182"/>
      <c r="F12" s="182"/>
      <c r="G12" s="182"/>
      <c r="H12" s="182"/>
      <c r="I12" s="183" t="s">
        <v>314</v>
      </c>
    </row>
    <row r="13" spans="1:9" ht="21.75" customHeight="1" x14ac:dyDescent="0.25">
      <c r="A13" s="165" t="s">
        <v>315</v>
      </c>
      <c r="B13" s="49" t="s">
        <v>463</v>
      </c>
      <c r="C13" s="173" t="s">
        <v>919</v>
      </c>
      <c r="D13" s="49" t="s">
        <v>6</v>
      </c>
      <c r="E13" s="182"/>
      <c r="F13" s="182"/>
      <c r="G13" s="182"/>
      <c r="H13" s="182"/>
      <c r="I13" s="183" t="s">
        <v>314</v>
      </c>
    </row>
    <row r="14" spans="1:9" ht="21.75" customHeight="1" x14ac:dyDescent="0.25">
      <c r="A14" s="165" t="s">
        <v>315</v>
      </c>
      <c r="B14" s="45" t="s">
        <v>465</v>
      </c>
      <c r="C14" s="181" t="s">
        <v>920</v>
      </c>
      <c r="D14" s="45" t="s">
        <v>6</v>
      </c>
      <c r="E14" s="182"/>
      <c r="F14" s="182"/>
      <c r="G14" s="182"/>
      <c r="H14" s="182"/>
      <c r="I14" s="183" t="s">
        <v>314</v>
      </c>
    </row>
    <row r="15" spans="1:9" ht="21.75" customHeight="1" x14ac:dyDescent="0.25">
      <c r="A15" s="165" t="s">
        <v>315</v>
      </c>
      <c r="B15" s="49" t="s">
        <v>467</v>
      </c>
      <c r="C15" s="173" t="s">
        <v>921</v>
      </c>
      <c r="D15" s="49" t="s">
        <v>6</v>
      </c>
      <c r="E15" s="182"/>
      <c r="F15" s="182"/>
      <c r="G15" s="182"/>
      <c r="H15" s="182"/>
      <c r="I15" s="183" t="s">
        <v>314</v>
      </c>
    </row>
    <row r="16" spans="1:9" ht="21.75" customHeight="1" x14ac:dyDescent="0.25">
      <c r="A16" s="165" t="s">
        <v>315</v>
      </c>
      <c r="B16" s="45" t="s">
        <v>469</v>
      </c>
      <c r="C16" s="181" t="s">
        <v>922</v>
      </c>
      <c r="D16" s="45" t="s">
        <v>6</v>
      </c>
      <c r="E16" s="182"/>
      <c r="F16" s="183" t="s">
        <v>314</v>
      </c>
      <c r="G16" s="182"/>
      <c r="H16" s="182"/>
      <c r="I16" s="182"/>
    </row>
    <row r="17" spans="1:9" ht="21.75" customHeight="1" x14ac:dyDescent="0.25">
      <c r="A17" s="165" t="s">
        <v>315</v>
      </c>
      <c r="B17" s="49" t="s">
        <v>471</v>
      </c>
      <c r="C17" s="173" t="s">
        <v>923</v>
      </c>
      <c r="D17" s="49" t="s">
        <v>6</v>
      </c>
      <c r="E17" s="182"/>
      <c r="F17" s="183" t="s">
        <v>314</v>
      </c>
      <c r="G17" s="182"/>
      <c r="H17" s="182"/>
      <c r="I17" s="182"/>
    </row>
    <row r="18" spans="1:9" ht="21.75" customHeight="1" x14ac:dyDescent="0.25">
      <c r="A18" s="165" t="s">
        <v>315</v>
      </c>
      <c r="B18" s="45" t="s">
        <v>473</v>
      </c>
      <c r="C18" s="181" t="s">
        <v>924</v>
      </c>
      <c r="D18" s="45" t="s">
        <v>3</v>
      </c>
      <c r="E18" s="182"/>
      <c r="F18" s="183" t="s">
        <v>314</v>
      </c>
      <c r="G18" s="182"/>
      <c r="H18" s="182"/>
      <c r="I18" s="182"/>
    </row>
    <row r="19" spans="1:9" ht="21.75" customHeight="1" x14ac:dyDescent="0.25">
      <c r="A19" s="165" t="s">
        <v>315</v>
      </c>
      <c r="B19" s="49" t="s">
        <v>475</v>
      </c>
      <c r="C19" s="173" t="s">
        <v>925</v>
      </c>
      <c r="D19" s="49" t="s">
        <v>6</v>
      </c>
      <c r="E19" s="182"/>
      <c r="F19" s="183" t="s">
        <v>314</v>
      </c>
      <c r="G19" s="182"/>
      <c r="H19" s="182"/>
      <c r="I19" s="182"/>
    </row>
    <row r="20" spans="1:9" ht="21.75" customHeight="1" x14ac:dyDescent="0.25">
      <c r="A20" s="165" t="s">
        <v>315</v>
      </c>
      <c r="B20" s="45" t="s">
        <v>476</v>
      </c>
      <c r="C20" s="181" t="s">
        <v>926</v>
      </c>
      <c r="D20" s="45" t="s">
        <v>3</v>
      </c>
      <c r="E20" s="182"/>
      <c r="F20" s="182"/>
      <c r="G20" s="183" t="s">
        <v>314</v>
      </c>
      <c r="H20" s="182"/>
      <c r="I20" s="182"/>
    </row>
    <row r="21" spans="1:9" ht="21.75" customHeight="1" x14ac:dyDescent="0.25">
      <c r="A21" s="165" t="s">
        <v>315</v>
      </c>
      <c r="B21" s="49" t="s">
        <v>478</v>
      </c>
      <c r="C21" s="173" t="s">
        <v>927</v>
      </c>
      <c r="D21" s="49" t="s">
        <v>6</v>
      </c>
      <c r="E21" s="182"/>
      <c r="F21" s="182"/>
      <c r="G21" s="182"/>
      <c r="H21" s="183" t="s">
        <v>314</v>
      </c>
      <c r="I21" s="182"/>
    </row>
    <row r="22" spans="1:9" ht="21.75" customHeight="1" x14ac:dyDescent="0.25">
      <c r="A22" s="165" t="s">
        <v>315</v>
      </c>
      <c r="B22" s="45" t="s">
        <v>480</v>
      </c>
      <c r="C22" s="181" t="s">
        <v>928</v>
      </c>
      <c r="D22" s="45" t="s">
        <v>6</v>
      </c>
      <c r="E22" s="182"/>
      <c r="F22" s="182"/>
      <c r="G22" s="182"/>
      <c r="H22" s="183" t="s">
        <v>314</v>
      </c>
      <c r="I22" s="182"/>
    </row>
    <row r="23" spans="1:9" ht="21.75" customHeight="1" x14ac:dyDescent="0.25">
      <c r="A23" s="165" t="s">
        <v>315</v>
      </c>
      <c r="B23" s="49" t="s">
        <v>482</v>
      </c>
      <c r="C23" s="173" t="s">
        <v>929</v>
      </c>
      <c r="D23" s="49" t="s">
        <v>6</v>
      </c>
      <c r="E23" s="182"/>
      <c r="F23" s="182"/>
      <c r="G23" s="182"/>
      <c r="H23" s="183" t="s">
        <v>314</v>
      </c>
      <c r="I23" s="182"/>
    </row>
    <row r="24" spans="1:9" ht="21.75" customHeight="1" x14ac:dyDescent="0.25">
      <c r="A24" s="165" t="s">
        <v>322</v>
      </c>
      <c r="B24" s="45" t="s">
        <v>493</v>
      </c>
      <c r="C24" s="181" t="s">
        <v>930</v>
      </c>
      <c r="D24" s="45" t="s">
        <v>3</v>
      </c>
      <c r="E24" s="183" t="s">
        <v>314</v>
      </c>
      <c r="F24" s="182"/>
      <c r="G24" s="182"/>
      <c r="H24" s="182"/>
      <c r="I24" s="182"/>
    </row>
    <row r="25" spans="1:9" ht="21.75" customHeight="1" x14ac:dyDescent="0.25">
      <c r="A25" s="165" t="s">
        <v>322</v>
      </c>
      <c r="B25" s="49" t="s">
        <v>501</v>
      </c>
      <c r="C25" s="173" t="s">
        <v>931</v>
      </c>
      <c r="D25" s="49" t="s">
        <v>3</v>
      </c>
      <c r="E25" s="183" t="s">
        <v>314</v>
      </c>
      <c r="F25" s="182"/>
      <c r="G25" s="182"/>
      <c r="H25" s="182"/>
      <c r="I25" s="182"/>
    </row>
    <row r="26" spans="1:9" ht="21.75" customHeight="1" x14ac:dyDescent="0.25">
      <c r="A26" s="165" t="s">
        <v>322</v>
      </c>
      <c r="B26" s="45" t="s">
        <v>505</v>
      </c>
      <c r="C26" s="181" t="s">
        <v>506</v>
      </c>
      <c r="D26" s="45" t="s">
        <v>3</v>
      </c>
      <c r="E26" s="183" t="s">
        <v>314</v>
      </c>
      <c r="F26" s="182"/>
      <c r="G26" s="182"/>
      <c r="H26" s="182"/>
      <c r="I26" s="182"/>
    </row>
    <row r="27" spans="1:9" ht="21.75" customHeight="1" x14ac:dyDescent="0.25">
      <c r="A27" s="165" t="s">
        <v>322</v>
      </c>
      <c r="B27" s="49" t="s">
        <v>510</v>
      </c>
      <c r="C27" s="173" t="s">
        <v>932</v>
      </c>
      <c r="D27" s="49" t="s">
        <v>3</v>
      </c>
      <c r="E27" s="183" t="s">
        <v>314</v>
      </c>
      <c r="F27" s="182"/>
      <c r="G27" s="182"/>
      <c r="H27" s="182"/>
      <c r="I27" s="182"/>
    </row>
    <row r="28" spans="1:9" ht="21.75" customHeight="1" x14ac:dyDescent="0.25">
      <c r="A28" s="165" t="s">
        <v>322</v>
      </c>
      <c r="B28" s="45" t="s">
        <v>517</v>
      </c>
      <c r="C28" s="181" t="s">
        <v>933</v>
      </c>
      <c r="D28" s="45" t="s">
        <v>3</v>
      </c>
      <c r="E28" s="183" t="s">
        <v>314</v>
      </c>
      <c r="F28" s="182"/>
      <c r="G28" s="182"/>
      <c r="H28" s="182"/>
      <c r="I28" s="182"/>
    </row>
    <row r="29" spans="1:9" ht="21.75" customHeight="1" x14ac:dyDescent="0.25">
      <c r="A29" s="165" t="s">
        <v>322</v>
      </c>
      <c r="B29" s="49" t="s">
        <v>522</v>
      </c>
      <c r="C29" s="173" t="s">
        <v>934</v>
      </c>
      <c r="D29" s="49" t="s">
        <v>6</v>
      </c>
      <c r="E29" s="183" t="s">
        <v>314</v>
      </c>
      <c r="F29" s="182"/>
      <c r="G29" s="182"/>
      <c r="H29" s="182"/>
      <c r="I29" s="182"/>
    </row>
    <row r="30" spans="1:9" ht="21.75" customHeight="1" x14ac:dyDescent="0.25">
      <c r="A30" s="165" t="s">
        <v>327</v>
      </c>
      <c r="B30" s="45" t="s">
        <v>538</v>
      </c>
      <c r="C30" s="181" t="s">
        <v>935</v>
      </c>
      <c r="D30" s="45" t="s">
        <v>3</v>
      </c>
      <c r="E30" s="183" t="s">
        <v>314</v>
      </c>
      <c r="F30" s="182"/>
      <c r="G30" s="182"/>
      <c r="H30" s="182"/>
      <c r="I30" s="182"/>
    </row>
    <row r="31" spans="1:9" ht="21.75" customHeight="1" x14ac:dyDescent="0.25">
      <c r="A31" s="165" t="s">
        <v>327</v>
      </c>
      <c r="B31" s="49" t="s">
        <v>550</v>
      </c>
      <c r="C31" s="173" t="s">
        <v>936</v>
      </c>
      <c r="D31" s="49" t="s">
        <v>9</v>
      </c>
      <c r="E31" s="183" t="s">
        <v>314</v>
      </c>
      <c r="F31" s="182"/>
      <c r="G31" s="182"/>
      <c r="H31" s="182"/>
      <c r="I31" s="182"/>
    </row>
    <row r="32" spans="1:9" ht="21.75" customHeight="1" x14ac:dyDescent="0.25">
      <c r="A32" s="165" t="s">
        <v>327</v>
      </c>
      <c r="B32" s="45" t="s">
        <v>554</v>
      </c>
      <c r="C32" s="181" t="s">
        <v>937</v>
      </c>
      <c r="D32" s="45" t="s">
        <v>9</v>
      </c>
      <c r="E32" s="183" t="s">
        <v>314</v>
      </c>
      <c r="F32" s="182"/>
      <c r="G32" s="182"/>
      <c r="H32" s="182"/>
      <c r="I32" s="182"/>
    </row>
    <row r="33" spans="1:9" ht="21.75" customHeight="1" x14ac:dyDescent="0.25">
      <c r="A33" s="165" t="s">
        <v>327</v>
      </c>
      <c r="B33" s="49" t="s">
        <v>557</v>
      </c>
      <c r="C33" s="173" t="s">
        <v>938</v>
      </c>
      <c r="D33" s="49" t="s">
        <v>6</v>
      </c>
      <c r="E33" s="183" t="s">
        <v>314</v>
      </c>
      <c r="F33" s="182"/>
      <c r="G33" s="182"/>
      <c r="H33" s="182"/>
      <c r="I33" s="182"/>
    </row>
    <row r="34" spans="1:9" ht="21.75" customHeight="1" x14ac:dyDescent="0.25">
      <c r="A34" s="165" t="s">
        <v>327</v>
      </c>
      <c r="B34" s="45" t="s">
        <v>564</v>
      </c>
      <c r="C34" s="181" t="s">
        <v>939</v>
      </c>
      <c r="D34" s="45" t="s">
        <v>3</v>
      </c>
      <c r="E34" s="183" t="s">
        <v>314</v>
      </c>
      <c r="F34" s="182"/>
      <c r="G34" s="182"/>
      <c r="H34" s="182"/>
      <c r="I34" s="182"/>
    </row>
    <row r="35" spans="1:9" ht="21.75" customHeight="1" x14ac:dyDescent="0.25">
      <c r="A35" s="165" t="s">
        <v>332</v>
      </c>
      <c r="B35" s="49" t="s">
        <v>582</v>
      </c>
      <c r="C35" s="173" t="s">
        <v>940</v>
      </c>
      <c r="D35" s="49" t="s">
        <v>6</v>
      </c>
      <c r="E35" s="183" t="s">
        <v>314</v>
      </c>
      <c r="F35" s="182"/>
      <c r="G35" s="182"/>
      <c r="H35" s="182"/>
      <c r="I35" s="182"/>
    </row>
    <row r="36" spans="1:9" ht="21.75" customHeight="1" x14ac:dyDescent="0.25">
      <c r="A36" s="165" t="s">
        <v>332</v>
      </c>
      <c r="B36" s="45" t="s">
        <v>588</v>
      </c>
      <c r="C36" s="181" t="s">
        <v>589</v>
      </c>
      <c r="D36" s="45" t="s">
        <v>3</v>
      </c>
      <c r="E36" s="183" t="s">
        <v>314</v>
      </c>
      <c r="F36" s="182"/>
      <c r="G36" s="182"/>
      <c r="H36" s="182"/>
      <c r="I36" s="182"/>
    </row>
    <row r="37" spans="1:9" ht="21.75" customHeight="1" x14ac:dyDescent="0.25">
      <c r="A37" s="165" t="s">
        <v>332</v>
      </c>
      <c r="B37" s="49" t="s">
        <v>593</v>
      </c>
      <c r="C37" s="173" t="s">
        <v>941</v>
      </c>
      <c r="D37" s="49" t="s">
        <v>3</v>
      </c>
      <c r="E37" s="183" t="s">
        <v>314</v>
      </c>
      <c r="F37" s="182"/>
      <c r="G37" s="182"/>
      <c r="H37" s="182"/>
      <c r="I37" s="182"/>
    </row>
    <row r="38" spans="1:9" ht="21.75" customHeight="1" x14ac:dyDescent="0.25">
      <c r="A38" s="165" t="s">
        <v>332</v>
      </c>
      <c r="B38" s="45" t="s">
        <v>601</v>
      </c>
      <c r="C38" s="181" t="s">
        <v>942</v>
      </c>
      <c r="D38" s="45" t="s">
        <v>6</v>
      </c>
      <c r="E38" s="183" t="s">
        <v>314</v>
      </c>
      <c r="F38" s="182"/>
      <c r="G38" s="182"/>
      <c r="H38" s="182"/>
      <c r="I38" s="182"/>
    </row>
    <row r="39" spans="1:9" ht="21.75" customHeight="1" x14ac:dyDescent="0.25">
      <c r="A39" s="165" t="s">
        <v>332</v>
      </c>
      <c r="B39" s="49" t="s">
        <v>607</v>
      </c>
      <c r="C39" s="173" t="s">
        <v>608</v>
      </c>
      <c r="D39" s="49" t="s">
        <v>3</v>
      </c>
      <c r="E39" s="183" t="s">
        <v>314</v>
      </c>
      <c r="F39" s="182"/>
      <c r="G39" s="182"/>
      <c r="H39" s="182"/>
      <c r="I39" s="182"/>
    </row>
    <row r="40" spans="1:9" ht="21.75" customHeight="1" x14ac:dyDescent="0.25">
      <c r="A40" s="165" t="s">
        <v>332</v>
      </c>
      <c r="B40" s="45" t="s">
        <v>615</v>
      </c>
      <c r="C40" s="181" t="s">
        <v>943</v>
      </c>
      <c r="D40" s="45" t="s">
        <v>9</v>
      </c>
      <c r="E40" s="183" t="s">
        <v>314</v>
      </c>
      <c r="F40" s="182"/>
      <c r="G40" s="182"/>
      <c r="H40" s="182"/>
      <c r="I40" s="182"/>
    </row>
    <row r="41" spans="1:9" ht="21.75" customHeight="1" x14ac:dyDescent="0.25">
      <c r="A41" s="165" t="s">
        <v>332</v>
      </c>
      <c r="B41" s="49" t="s">
        <v>623</v>
      </c>
      <c r="C41" s="173" t="s">
        <v>944</v>
      </c>
      <c r="D41" s="49" t="s">
        <v>6</v>
      </c>
      <c r="E41" s="183" t="s">
        <v>314</v>
      </c>
      <c r="F41" s="182"/>
      <c r="G41" s="182"/>
      <c r="H41" s="182"/>
      <c r="I41" s="182"/>
    </row>
    <row r="42" spans="1:9" ht="21.75" customHeight="1" x14ac:dyDescent="0.25">
      <c r="A42" s="165" t="s">
        <v>337</v>
      </c>
      <c r="B42" s="45" t="s">
        <v>638</v>
      </c>
      <c r="C42" s="181" t="s">
        <v>945</v>
      </c>
      <c r="D42" s="45" t="s">
        <v>9</v>
      </c>
      <c r="E42" s="183" t="s">
        <v>314</v>
      </c>
      <c r="F42" s="182"/>
      <c r="G42" s="182"/>
      <c r="H42" s="182"/>
      <c r="I42" s="182"/>
    </row>
    <row r="43" spans="1:9" ht="21.75" customHeight="1" x14ac:dyDescent="0.25">
      <c r="A43" s="165" t="s">
        <v>337</v>
      </c>
      <c r="B43" s="49" t="s">
        <v>643</v>
      </c>
      <c r="C43" s="173" t="s">
        <v>946</v>
      </c>
      <c r="D43" s="49" t="s">
        <v>9</v>
      </c>
      <c r="E43" s="183" t="s">
        <v>314</v>
      </c>
      <c r="F43" s="182"/>
      <c r="G43" s="182"/>
      <c r="H43" s="182"/>
      <c r="I43" s="182"/>
    </row>
    <row r="44" spans="1:9" ht="21.75" customHeight="1" x14ac:dyDescent="0.25">
      <c r="A44" s="165" t="s">
        <v>337</v>
      </c>
      <c r="B44" s="45" t="s">
        <v>647</v>
      </c>
      <c r="C44" s="181" t="s">
        <v>648</v>
      </c>
      <c r="D44" s="45" t="s">
        <v>9</v>
      </c>
      <c r="E44" s="183" t="s">
        <v>314</v>
      </c>
      <c r="F44" s="182"/>
      <c r="G44" s="182"/>
      <c r="H44" s="182"/>
      <c r="I44" s="182"/>
    </row>
    <row r="45" spans="1:9" ht="21.75" customHeight="1" x14ac:dyDescent="0.25">
      <c r="A45" s="165" t="s">
        <v>337</v>
      </c>
      <c r="B45" s="49" t="s">
        <v>652</v>
      </c>
      <c r="C45" s="173" t="s">
        <v>947</v>
      </c>
      <c r="D45" s="49" t="s">
        <v>9</v>
      </c>
      <c r="E45" s="183" t="s">
        <v>314</v>
      </c>
      <c r="F45" s="182"/>
      <c r="G45" s="182"/>
      <c r="H45" s="182"/>
      <c r="I45" s="182"/>
    </row>
    <row r="46" spans="1:9" ht="21.75" customHeight="1" x14ac:dyDescent="0.25">
      <c r="A46" s="165" t="s">
        <v>337</v>
      </c>
      <c r="B46" s="45" t="s">
        <v>655</v>
      </c>
      <c r="C46" s="181" t="s">
        <v>948</v>
      </c>
      <c r="D46" s="45" t="s">
        <v>9</v>
      </c>
      <c r="E46" s="183" t="s">
        <v>314</v>
      </c>
      <c r="F46" s="182"/>
      <c r="G46" s="182"/>
      <c r="H46" s="182"/>
      <c r="I46" s="182"/>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2"/>
  <sheetViews>
    <sheetView showGridLines="0" topLeftCell="A18" zoomScaleNormal="100" workbookViewId="0">
      <selection activeCell="I4" sqref="I4"/>
    </sheetView>
  </sheetViews>
  <sheetFormatPr baseColWidth="10" defaultColWidth="8.7109375" defaultRowHeight="15" x14ac:dyDescent="0.25"/>
  <cols>
    <col min="1" max="1" width="14" customWidth="1"/>
    <col min="2" max="2" width="18" customWidth="1"/>
    <col min="3" max="4" width="16" customWidth="1"/>
    <col min="5" max="5" width="12" customWidth="1"/>
    <col min="6" max="6" width="37.7109375" customWidth="1"/>
    <col min="7" max="7" width="40" customWidth="1"/>
  </cols>
  <sheetData>
    <row r="1" spans="1:7" ht="33.75" customHeight="1" x14ac:dyDescent="0.25">
      <c r="A1" s="216" t="s">
        <v>949</v>
      </c>
      <c r="B1" s="216"/>
      <c r="C1" s="216"/>
      <c r="D1" s="216"/>
      <c r="E1" s="216"/>
      <c r="F1" s="216"/>
      <c r="G1" s="216"/>
    </row>
    <row r="2" spans="1:7" ht="18" customHeight="1" x14ac:dyDescent="0.25">
      <c r="A2" s="214" t="s">
        <v>950</v>
      </c>
      <c r="B2" s="214"/>
      <c r="C2" s="214"/>
      <c r="D2" s="214"/>
      <c r="E2" s="214"/>
      <c r="F2" s="214"/>
      <c r="G2" s="214"/>
    </row>
    <row r="3" spans="1:7" ht="24" customHeight="1" x14ac:dyDescent="0.25">
      <c r="A3" s="56" t="s">
        <v>311</v>
      </c>
      <c r="B3" s="56" t="s">
        <v>308</v>
      </c>
      <c r="C3" s="56" t="s">
        <v>951</v>
      </c>
      <c r="D3" s="56" t="s">
        <v>952</v>
      </c>
      <c r="E3" s="56" t="s">
        <v>953</v>
      </c>
      <c r="F3" s="184" t="s">
        <v>954</v>
      </c>
    </row>
    <row r="4" spans="1:7" ht="24" customHeight="1" x14ac:dyDescent="0.25">
      <c r="A4" s="185" t="s">
        <v>319</v>
      </c>
      <c r="B4" s="185" t="s">
        <v>955</v>
      </c>
      <c r="C4" s="185">
        <v>35</v>
      </c>
      <c r="D4" s="185">
        <v>35</v>
      </c>
      <c r="E4" s="186">
        <f>D4/C4</f>
        <v>1</v>
      </c>
      <c r="F4" s="59" t="s">
        <v>956</v>
      </c>
    </row>
    <row r="5" spans="1:7" ht="24" customHeight="1" x14ac:dyDescent="0.25">
      <c r="A5" s="187" t="s">
        <v>326</v>
      </c>
      <c r="B5" s="187" t="s">
        <v>957</v>
      </c>
      <c r="C5" s="187">
        <v>38</v>
      </c>
      <c r="D5" s="187">
        <v>38</v>
      </c>
      <c r="E5" s="188">
        <f>D5/C5</f>
        <v>1</v>
      </c>
      <c r="F5" s="189" t="s">
        <v>958</v>
      </c>
    </row>
    <row r="6" spans="1:7" ht="24" customHeight="1" x14ac:dyDescent="0.25">
      <c r="A6" s="185" t="s">
        <v>331</v>
      </c>
      <c r="B6" s="185" t="s">
        <v>959</v>
      </c>
      <c r="C6" s="185">
        <v>38</v>
      </c>
      <c r="D6" s="185">
        <v>38</v>
      </c>
      <c r="E6" s="186">
        <f>D6/C6</f>
        <v>1</v>
      </c>
      <c r="F6" s="59" t="s">
        <v>960</v>
      </c>
    </row>
    <row r="7" spans="1:7" ht="24" customHeight="1" x14ac:dyDescent="0.25">
      <c r="A7" s="187" t="s">
        <v>336</v>
      </c>
      <c r="B7" s="187" t="s">
        <v>961</v>
      </c>
      <c r="C7" s="187">
        <v>41</v>
      </c>
      <c r="D7" s="187">
        <v>41</v>
      </c>
      <c r="E7" s="188">
        <f>D7/C7</f>
        <v>1</v>
      </c>
      <c r="F7" s="189" t="s">
        <v>962</v>
      </c>
    </row>
    <row r="8" spans="1:7" ht="24" customHeight="1" x14ac:dyDescent="0.25">
      <c r="A8" s="185" t="s">
        <v>341</v>
      </c>
      <c r="B8" s="185" t="s">
        <v>963</v>
      </c>
      <c r="C8" s="185">
        <v>25</v>
      </c>
      <c r="D8" s="185">
        <v>25</v>
      </c>
      <c r="E8" s="186">
        <f>D8/C8</f>
        <v>1</v>
      </c>
      <c r="F8" s="59" t="s">
        <v>964</v>
      </c>
    </row>
    <row r="9" spans="1:7" ht="24" customHeight="1" x14ac:dyDescent="0.25">
      <c r="A9" s="187" t="s">
        <v>965</v>
      </c>
      <c r="B9" s="187" t="s">
        <v>966</v>
      </c>
      <c r="C9" s="187">
        <v>0</v>
      </c>
      <c r="D9" s="187">
        <v>0</v>
      </c>
      <c r="E9" s="188">
        <f>IF(C9=0,0,D9/C9)</f>
        <v>0</v>
      </c>
      <c r="F9" s="189" t="s">
        <v>967</v>
      </c>
    </row>
    <row r="10" spans="1:7" ht="24" customHeight="1" x14ac:dyDescent="0.25">
      <c r="A10" s="56" t="s">
        <v>968</v>
      </c>
      <c r="B10" s="56"/>
      <c r="C10" s="56">
        <f>SUM(C4:C9)</f>
        <v>177</v>
      </c>
      <c r="D10" s="56">
        <f>SUM(D4:D9)</f>
        <v>177</v>
      </c>
      <c r="E10" s="190">
        <f>D10/C10</f>
        <v>1</v>
      </c>
      <c r="F10" s="184"/>
    </row>
    <row r="12" spans="1:7" ht="19.5" customHeight="1" x14ac:dyDescent="0.25">
      <c r="A12" s="215" t="s">
        <v>969</v>
      </c>
      <c r="B12" s="215"/>
      <c r="C12" s="215"/>
      <c r="D12" s="215"/>
      <c r="E12" s="215"/>
      <c r="F12" s="215"/>
      <c r="G12" s="215"/>
    </row>
    <row r="13" spans="1:7" ht="25.5" customHeight="1" x14ac:dyDescent="0.25">
      <c r="A13" s="191" t="s">
        <v>970</v>
      </c>
      <c r="B13" s="191" t="s">
        <v>971</v>
      </c>
      <c r="C13" s="191" t="s">
        <v>972</v>
      </c>
      <c r="D13" s="191" t="s">
        <v>973</v>
      </c>
      <c r="E13" s="191" t="s">
        <v>974</v>
      </c>
      <c r="F13" s="191" t="s">
        <v>311</v>
      </c>
      <c r="G13" s="191" t="s">
        <v>975</v>
      </c>
    </row>
    <row r="14" spans="1:7" ht="21.75" customHeight="1" x14ac:dyDescent="0.25">
      <c r="A14" s="138" t="s">
        <v>976</v>
      </c>
      <c r="B14" s="138" t="s">
        <v>977</v>
      </c>
      <c r="C14" s="138">
        <v>177</v>
      </c>
      <c r="D14" s="138">
        <v>177</v>
      </c>
      <c r="E14" s="138">
        <v>0</v>
      </c>
      <c r="F14" s="192" t="s">
        <v>319</v>
      </c>
      <c r="G14" s="192" t="s">
        <v>978</v>
      </c>
    </row>
    <row r="15" spans="1:7" ht="21.75" customHeight="1" x14ac:dyDescent="0.25">
      <c r="A15" s="49" t="s">
        <v>979</v>
      </c>
      <c r="B15" s="49" t="s">
        <v>980</v>
      </c>
      <c r="C15" s="49">
        <v>168</v>
      </c>
      <c r="D15" s="49">
        <v>168</v>
      </c>
      <c r="E15" s="49">
        <v>0</v>
      </c>
      <c r="F15" s="50" t="s">
        <v>319</v>
      </c>
      <c r="G15" s="50" t="s">
        <v>981</v>
      </c>
    </row>
    <row r="16" spans="1:7" ht="21.75" customHeight="1" x14ac:dyDescent="0.25">
      <c r="A16" s="138" t="s">
        <v>982</v>
      </c>
      <c r="B16" s="138" t="s">
        <v>983</v>
      </c>
      <c r="C16" s="138">
        <v>159</v>
      </c>
      <c r="D16" s="138">
        <v>159</v>
      </c>
      <c r="E16" s="138">
        <v>0</v>
      </c>
      <c r="F16" s="192" t="s">
        <v>319</v>
      </c>
      <c r="G16" s="192" t="s">
        <v>984</v>
      </c>
    </row>
    <row r="17" spans="1:7" ht="21.75" customHeight="1" x14ac:dyDescent="0.25">
      <c r="A17" s="49" t="s">
        <v>985</v>
      </c>
      <c r="B17" s="49" t="s">
        <v>986</v>
      </c>
      <c r="C17" s="49">
        <v>142</v>
      </c>
      <c r="D17" s="49">
        <v>142</v>
      </c>
      <c r="E17" s="49">
        <v>0</v>
      </c>
      <c r="F17" s="50" t="s">
        <v>987</v>
      </c>
      <c r="G17" s="50" t="s">
        <v>988</v>
      </c>
    </row>
    <row r="18" spans="1:7" ht="21.75" customHeight="1" x14ac:dyDescent="0.25">
      <c r="A18" s="138" t="s">
        <v>989</v>
      </c>
      <c r="B18" s="138" t="s">
        <v>990</v>
      </c>
      <c r="C18" s="138">
        <v>133</v>
      </c>
      <c r="D18" s="138">
        <v>133</v>
      </c>
      <c r="E18" s="138">
        <v>0</v>
      </c>
      <c r="F18" s="192" t="s">
        <v>326</v>
      </c>
      <c r="G18" s="192" t="s">
        <v>991</v>
      </c>
    </row>
    <row r="19" spans="1:7" ht="21.75" customHeight="1" x14ac:dyDescent="0.25">
      <c r="A19" s="49" t="s">
        <v>992</v>
      </c>
      <c r="B19" s="49" t="s">
        <v>993</v>
      </c>
      <c r="C19" s="49">
        <v>123</v>
      </c>
      <c r="D19" s="49">
        <v>123</v>
      </c>
      <c r="E19" s="49">
        <v>0</v>
      </c>
      <c r="F19" s="50" t="s">
        <v>326</v>
      </c>
      <c r="G19" s="50" t="s">
        <v>994</v>
      </c>
    </row>
    <row r="20" spans="1:7" ht="21.75" customHeight="1" x14ac:dyDescent="0.25">
      <c r="A20" s="138" t="s">
        <v>995</v>
      </c>
      <c r="B20" s="138" t="s">
        <v>996</v>
      </c>
      <c r="C20" s="138">
        <v>104</v>
      </c>
      <c r="D20" s="138">
        <v>104</v>
      </c>
      <c r="E20" s="138">
        <v>0</v>
      </c>
      <c r="F20" s="192" t="s">
        <v>997</v>
      </c>
      <c r="G20" s="192" t="s">
        <v>998</v>
      </c>
    </row>
    <row r="21" spans="1:7" ht="21.75" customHeight="1" x14ac:dyDescent="0.25">
      <c r="A21" s="49" t="s">
        <v>999</v>
      </c>
      <c r="B21" s="49" t="s">
        <v>1000</v>
      </c>
      <c r="C21" s="49">
        <v>95</v>
      </c>
      <c r="D21" s="49">
        <v>95</v>
      </c>
      <c r="E21" s="49">
        <v>0</v>
      </c>
      <c r="F21" s="50" t="s">
        <v>331</v>
      </c>
      <c r="G21" s="50" t="s">
        <v>1001</v>
      </c>
    </row>
    <row r="22" spans="1:7" ht="21.75" customHeight="1" x14ac:dyDescent="0.25">
      <c r="A22" s="138" t="s">
        <v>1002</v>
      </c>
      <c r="B22" s="138" t="s">
        <v>1003</v>
      </c>
      <c r="C22" s="138">
        <v>84</v>
      </c>
      <c r="D22" s="138">
        <v>84</v>
      </c>
      <c r="E22" s="138">
        <v>0</v>
      </c>
      <c r="F22" s="192" t="s">
        <v>331</v>
      </c>
      <c r="G22" s="192" t="s">
        <v>1004</v>
      </c>
    </row>
    <row r="23" spans="1:7" ht="21.75" customHeight="1" x14ac:dyDescent="0.25">
      <c r="A23" s="49" t="s">
        <v>1005</v>
      </c>
      <c r="B23" s="49" t="s">
        <v>1006</v>
      </c>
      <c r="C23" s="49">
        <v>66</v>
      </c>
      <c r="D23" s="49">
        <v>66</v>
      </c>
      <c r="E23" s="49">
        <v>0</v>
      </c>
      <c r="F23" s="50" t="s">
        <v>1007</v>
      </c>
      <c r="G23" s="50" t="s">
        <v>1008</v>
      </c>
    </row>
    <row r="24" spans="1:7" ht="21.75" customHeight="1" x14ac:dyDescent="0.25">
      <c r="A24" s="138" t="s">
        <v>1009</v>
      </c>
      <c r="B24" s="138" t="s">
        <v>1010</v>
      </c>
      <c r="C24" s="138">
        <v>57</v>
      </c>
      <c r="D24" s="138">
        <v>57</v>
      </c>
      <c r="E24" s="138">
        <v>0</v>
      </c>
      <c r="F24" s="192" t="s">
        <v>336</v>
      </c>
      <c r="G24" s="192" t="s">
        <v>1011</v>
      </c>
    </row>
    <row r="25" spans="1:7" ht="21.75" customHeight="1" x14ac:dyDescent="0.25">
      <c r="A25" s="49" t="s">
        <v>1012</v>
      </c>
      <c r="B25" s="49" t="s">
        <v>1013</v>
      </c>
      <c r="C25" s="49">
        <v>45</v>
      </c>
      <c r="D25" s="49">
        <v>45</v>
      </c>
      <c r="E25" s="49">
        <v>0</v>
      </c>
      <c r="F25" s="50" t="s">
        <v>336</v>
      </c>
      <c r="G25" s="50" t="s">
        <v>1014</v>
      </c>
    </row>
    <row r="26" spans="1:7" ht="21.75" customHeight="1" x14ac:dyDescent="0.25">
      <c r="A26" s="138" t="s">
        <v>1015</v>
      </c>
      <c r="B26" s="138" t="s">
        <v>1016</v>
      </c>
      <c r="C26" s="138">
        <v>25</v>
      </c>
      <c r="D26" s="138">
        <v>25</v>
      </c>
      <c r="E26" s="138">
        <v>0</v>
      </c>
      <c r="F26" s="192" t="s">
        <v>1017</v>
      </c>
      <c r="G26" s="192" t="s">
        <v>1018</v>
      </c>
    </row>
    <row r="27" spans="1:7" ht="21.75" customHeight="1" x14ac:dyDescent="0.25">
      <c r="A27" s="49" t="s">
        <v>1019</v>
      </c>
      <c r="B27" s="49" t="s">
        <v>1020</v>
      </c>
      <c r="C27" s="49">
        <v>17</v>
      </c>
      <c r="D27" s="49">
        <v>17</v>
      </c>
      <c r="E27" s="49">
        <v>0</v>
      </c>
      <c r="F27" s="50" t="s">
        <v>341</v>
      </c>
      <c r="G27" s="50" t="s">
        <v>1021</v>
      </c>
    </row>
    <row r="28" spans="1:7" ht="21.75" customHeight="1" x14ac:dyDescent="0.25">
      <c r="A28" s="138" t="s">
        <v>1022</v>
      </c>
      <c r="B28" s="138" t="s">
        <v>1023</v>
      </c>
      <c r="C28" s="138">
        <v>7</v>
      </c>
      <c r="D28" s="138">
        <v>7</v>
      </c>
      <c r="E28" s="138">
        <v>0</v>
      </c>
      <c r="F28" s="192" t="s">
        <v>341</v>
      </c>
      <c r="G28" s="192" t="s">
        <v>1024</v>
      </c>
    </row>
    <row r="29" spans="1:7" ht="21.75" customHeight="1" x14ac:dyDescent="0.25">
      <c r="A29" s="49" t="s">
        <v>1025</v>
      </c>
      <c r="B29" s="49" t="s">
        <v>1026</v>
      </c>
      <c r="C29" s="49">
        <v>0</v>
      </c>
      <c r="D29" s="49">
        <v>0</v>
      </c>
      <c r="E29" s="49">
        <v>0</v>
      </c>
      <c r="F29" s="50" t="s">
        <v>1027</v>
      </c>
      <c r="G29" s="50" t="s">
        <v>1028</v>
      </c>
    </row>
    <row r="30" spans="1:7" ht="21.75" customHeight="1" x14ac:dyDescent="0.25">
      <c r="A30" s="138" t="s">
        <v>1029</v>
      </c>
      <c r="B30" s="138" t="s">
        <v>1030</v>
      </c>
      <c r="C30" s="138">
        <v>0</v>
      </c>
      <c r="D30" s="138">
        <v>0</v>
      </c>
      <c r="E30" s="138">
        <v>0</v>
      </c>
      <c r="F30" s="192" t="s">
        <v>965</v>
      </c>
      <c r="G30" s="192" t="s">
        <v>1031</v>
      </c>
    </row>
    <row r="31" spans="1:7" ht="21.75" customHeight="1" x14ac:dyDescent="0.25">
      <c r="A31" s="49" t="s">
        <v>1032</v>
      </c>
      <c r="B31" s="49" t="s">
        <v>1033</v>
      </c>
      <c r="C31" s="49">
        <v>0</v>
      </c>
      <c r="D31" s="49">
        <v>0</v>
      </c>
      <c r="E31" s="49">
        <v>0</v>
      </c>
      <c r="F31" s="50" t="s">
        <v>965</v>
      </c>
      <c r="G31" s="50" t="s">
        <v>1034</v>
      </c>
    </row>
    <row r="32" spans="1:7" ht="21.75" customHeight="1" x14ac:dyDescent="0.25">
      <c r="A32" s="138" t="s">
        <v>1035</v>
      </c>
      <c r="B32" s="138" t="s">
        <v>1036</v>
      </c>
      <c r="C32" s="138">
        <v>0</v>
      </c>
      <c r="D32" s="138">
        <v>0</v>
      </c>
      <c r="E32" s="138">
        <v>0</v>
      </c>
      <c r="F32" s="192" t="s">
        <v>965</v>
      </c>
      <c r="G32" s="192" t="s">
        <v>1037</v>
      </c>
    </row>
  </sheetData>
  <mergeCells count="3">
    <mergeCell ref="A1:G1"/>
    <mergeCell ref="A2:G2"/>
    <mergeCell ref="A12:G1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61"/>
  <sheetViews>
    <sheetView showGridLines="0" topLeftCell="A45" zoomScaleNormal="100" workbookViewId="0">
      <selection activeCell="I3" sqref="I3"/>
    </sheetView>
  </sheetViews>
  <sheetFormatPr baseColWidth="10" defaultColWidth="8.7109375" defaultRowHeight="15" x14ac:dyDescent="0.25"/>
  <cols>
    <col min="1" max="1" width="4" customWidth="1"/>
    <col min="2" max="2" width="95" customWidth="1"/>
  </cols>
  <sheetData>
    <row r="1" spans="1:2" ht="33.75" customHeight="1" x14ac:dyDescent="0.25">
      <c r="A1" s="216" t="s">
        <v>1038</v>
      </c>
      <c r="B1" s="216"/>
    </row>
    <row r="2" spans="1:2" ht="18" customHeight="1" x14ac:dyDescent="0.25">
      <c r="A2" s="214" t="s">
        <v>1039</v>
      </c>
      <c r="B2" s="214"/>
    </row>
    <row r="3" spans="1:2" ht="97.5" customHeight="1" x14ac:dyDescent="0.25">
      <c r="A3" s="221" t="s">
        <v>1040</v>
      </c>
      <c r="B3" s="221"/>
    </row>
    <row r="4" spans="1:2" ht="21.75" customHeight="1" x14ac:dyDescent="0.25">
      <c r="A4" s="222" t="s">
        <v>1041</v>
      </c>
      <c r="B4" s="222"/>
    </row>
    <row r="5" spans="1:2" ht="55.5" customHeight="1" x14ac:dyDescent="0.25">
      <c r="A5" s="221" t="s">
        <v>1042</v>
      </c>
      <c r="B5" s="221"/>
    </row>
    <row r="6" spans="1:2" ht="21.75" customHeight="1" x14ac:dyDescent="0.25">
      <c r="A6" s="222" t="s">
        <v>1043</v>
      </c>
      <c r="B6" s="222"/>
    </row>
    <row r="7" spans="1:2" ht="55.5" customHeight="1" x14ac:dyDescent="0.25">
      <c r="A7" s="221" t="s">
        <v>1044</v>
      </c>
      <c r="B7" s="221"/>
    </row>
    <row r="8" spans="1:2" ht="21.75" customHeight="1" x14ac:dyDescent="0.25">
      <c r="A8" s="222" t="s">
        <v>1045</v>
      </c>
      <c r="B8" s="222"/>
    </row>
    <row r="9" spans="1:2" ht="42" customHeight="1" x14ac:dyDescent="0.25">
      <c r="A9" s="221" t="s">
        <v>1046</v>
      </c>
      <c r="B9" s="221"/>
    </row>
    <row r="11" spans="1:2" ht="21.75" customHeight="1" x14ac:dyDescent="0.25">
      <c r="A11" s="222" t="s">
        <v>1047</v>
      </c>
      <c r="B11" s="222"/>
    </row>
    <row r="12" spans="1:2" ht="15.75" customHeight="1" x14ac:dyDescent="0.25">
      <c r="A12" s="221" t="s">
        <v>1048</v>
      </c>
      <c r="B12" s="221"/>
    </row>
    <row r="13" spans="1:2" ht="15.75" customHeight="1" x14ac:dyDescent="0.25">
      <c r="A13" s="221" t="s">
        <v>1049</v>
      </c>
      <c r="B13" s="221"/>
    </row>
    <row r="14" spans="1:2" ht="15.75" customHeight="1" x14ac:dyDescent="0.25">
      <c r="A14" s="221" t="s">
        <v>1050</v>
      </c>
      <c r="B14" s="221"/>
    </row>
    <row r="15" spans="1:2" ht="15.75" customHeight="1" x14ac:dyDescent="0.25">
      <c r="A15" s="221" t="s">
        <v>1051</v>
      </c>
      <c r="B15" s="221"/>
    </row>
    <row r="16" spans="1:2" ht="15.75" customHeight="1" x14ac:dyDescent="0.25">
      <c r="A16" s="221" t="s">
        <v>1052</v>
      </c>
      <c r="B16" s="221"/>
    </row>
    <row r="17" spans="1:2" ht="15.75" customHeight="1" x14ac:dyDescent="0.25">
      <c r="A17" s="221" t="s">
        <v>1053</v>
      </c>
      <c r="B17" s="221"/>
    </row>
    <row r="19" spans="1:2" ht="21.75" customHeight="1" x14ac:dyDescent="0.25">
      <c r="A19" s="222" t="s">
        <v>1054</v>
      </c>
      <c r="B19" s="222"/>
    </row>
    <row r="20" spans="1:2" ht="15.75" customHeight="1" x14ac:dyDescent="0.25">
      <c r="A20" s="221" t="s">
        <v>1055</v>
      </c>
      <c r="B20" s="221"/>
    </row>
    <row r="21" spans="1:2" ht="15.75" customHeight="1" x14ac:dyDescent="0.25">
      <c r="A21" s="221" t="s">
        <v>1056</v>
      </c>
      <c r="B21" s="221"/>
    </row>
    <row r="22" spans="1:2" ht="15.75" customHeight="1" x14ac:dyDescent="0.25">
      <c r="A22" s="221" t="s">
        <v>1057</v>
      </c>
      <c r="B22" s="221"/>
    </row>
    <row r="23" spans="1:2" ht="15.75" customHeight="1" x14ac:dyDescent="0.25">
      <c r="A23" s="221" t="s">
        <v>1058</v>
      </c>
      <c r="B23" s="221"/>
    </row>
    <row r="24" spans="1:2" ht="15.75" customHeight="1" x14ac:dyDescent="0.25">
      <c r="A24" s="221" t="s">
        <v>1059</v>
      </c>
      <c r="B24" s="221"/>
    </row>
    <row r="26" spans="1:2" ht="21.75" customHeight="1" x14ac:dyDescent="0.25">
      <c r="A26" s="222" t="s">
        <v>1060</v>
      </c>
      <c r="B26" s="222"/>
    </row>
    <row r="27" spans="1:2" ht="55.5" customHeight="1" x14ac:dyDescent="0.25">
      <c r="A27" s="221" t="s">
        <v>1061</v>
      </c>
      <c r="B27" s="221"/>
    </row>
    <row r="29" spans="1:2" ht="21.75" customHeight="1" x14ac:dyDescent="0.25">
      <c r="A29" s="222" t="s">
        <v>1062</v>
      </c>
      <c r="B29" s="222"/>
    </row>
    <row r="30" spans="1:2" ht="42" customHeight="1" x14ac:dyDescent="0.25">
      <c r="A30" s="221" t="s">
        <v>1063</v>
      </c>
      <c r="B30" s="221"/>
    </row>
    <row r="32" spans="1:2" ht="21.75" customHeight="1" x14ac:dyDescent="0.25">
      <c r="A32" s="222" t="s">
        <v>1064</v>
      </c>
      <c r="B32" s="222"/>
    </row>
    <row r="33" spans="1:2" ht="42" customHeight="1" x14ac:dyDescent="0.25">
      <c r="A33" s="221" t="s">
        <v>1065</v>
      </c>
      <c r="B33" s="221"/>
    </row>
    <row r="35" spans="1:2" ht="21.75" customHeight="1" x14ac:dyDescent="0.25">
      <c r="A35" s="222" t="s">
        <v>1066</v>
      </c>
      <c r="B35" s="222"/>
    </row>
    <row r="36" spans="1:2" ht="27.75" customHeight="1" x14ac:dyDescent="0.25">
      <c r="A36" s="221" t="s">
        <v>1067</v>
      </c>
      <c r="B36" s="221"/>
    </row>
    <row r="38" spans="1:2" ht="21.75" customHeight="1" x14ac:dyDescent="0.25">
      <c r="A38" s="222" t="s">
        <v>1068</v>
      </c>
      <c r="B38" s="222"/>
    </row>
    <row r="39" spans="1:2" ht="42" customHeight="1" x14ac:dyDescent="0.25">
      <c r="A39" s="221" t="s">
        <v>1069</v>
      </c>
      <c r="B39" s="221"/>
    </row>
    <row r="42" spans="1:2" ht="15.75" customHeight="1" x14ac:dyDescent="0.25">
      <c r="A42" s="223" t="s">
        <v>1070</v>
      </c>
      <c r="B42" s="223"/>
    </row>
    <row r="46" spans="1:2" ht="18" customHeight="1" x14ac:dyDescent="0.25">
      <c r="A46" s="193" t="s">
        <v>1071</v>
      </c>
    </row>
    <row r="47" spans="1:2" ht="15" customHeight="1" x14ac:dyDescent="0.25">
      <c r="A47" s="194" t="s">
        <v>1072</v>
      </c>
    </row>
    <row r="48" spans="1:2" ht="15" customHeight="1" x14ac:dyDescent="0.25">
      <c r="A48" s="193" t="s">
        <v>1073</v>
      </c>
    </row>
    <row r="51" spans="1:1" ht="15" customHeight="1" x14ac:dyDescent="0.25">
      <c r="A51" s="193" t="s">
        <v>1071</v>
      </c>
    </row>
    <row r="52" spans="1:1" ht="15" customHeight="1" x14ac:dyDescent="0.25">
      <c r="A52" s="194" t="s">
        <v>1074</v>
      </c>
    </row>
    <row r="54" spans="1:1" ht="15" customHeight="1" x14ac:dyDescent="0.25">
      <c r="A54" s="193" t="s">
        <v>1071</v>
      </c>
    </row>
    <row r="55" spans="1:1" ht="15" customHeight="1" x14ac:dyDescent="0.25">
      <c r="A55" s="194" t="s">
        <v>1075</v>
      </c>
    </row>
    <row r="57" spans="1:1" ht="15" customHeight="1" x14ac:dyDescent="0.25">
      <c r="A57" s="193" t="s">
        <v>1071</v>
      </c>
    </row>
    <row r="58" spans="1:1" ht="15" customHeight="1" x14ac:dyDescent="0.25">
      <c r="A58" s="194" t="s">
        <v>1076</v>
      </c>
    </row>
    <row r="60" spans="1:1" ht="15" customHeight="1" x14ac:dyDescent="0.25">
      <c r="A60" s="193" t="s">
        <v>1071</v>
      </c>
    </row>
    <row r="61" spans="1:1" ht="15" customHeight="1" x14ac:dyDescent="0.25">
      <c r="A61" s="194" t="s">
        <v>1077</v>
      </c>
    </row>
  </sheetData>
  <mergeCells count="33">
    <mergeCell ref="A38:B38"/>
    <mergeCell ref="A39:B39"/>
    <mergeCell ref="A42:B42"/>
    <mergeCell ref="A30:B30"/>
    <mergeCell ref="A32:B32"/>
    <mergeCell ref="A33:B33"/>
    <mergeCell ref="A35:B35"/>
    <mergeCell ref="A36:B36"/>
    <mergeCell ref="A23:B23"/>
    <mergeCell ref="A24:B24"/>
    <mergeCell ref="A26:B26"/>
    <mergeCell ref="A27:B27"/>
    <mergeCell ref="A29:B29"/>
    <mergeCell ref="A17:B17"/>
    <mergeCell ref="A19:B19"/>
    <mergeCell ref="A20:B20"/>
    <mergeCell ref="A21:B21"/>
    <mergeCell ref="A22:B22"/>
    <mergeCell ref="A12:B12"/>
    <mergeCell ref="A13:B13"/>
    <mergeCell ref="A14:B14"/>
    <mergeCell ref="A15:B15"/>
    <mergeCell ref="A16:B16"/>
    <mergeCell ref="A6:B6"/>
    <mergeCell ref="A7:B7"/>
    <mergeCell ref="A8:B8"/>
    <mergeCell ref="A9:B9"/>
    <mergeCell ref="A11:B11"/>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PRESUPUESTO REAL</vt:lpstr>
      <vt:lpstr>DIAGRAMA DE GANTT</vt:lpstr>
      <vt:lpstr>EQUIPOS DE CÓMPUTO</vt:lpstr>
      <vt:lpstr>SERVIDORES</vt:lpstr>
      <vt:lpstr>RECURSOS HUMANOS</vt:lpstr>
      <vt:lpstr>DISTRIBUCIÓN TAREAS</vt:lpstr>
      <vt:lpstr>ÉPICAS</vt:lpstr>
      <vt:lpstr>SCRUM TEAM</vt:lpstr>
      <vt:lpstr>GANTT SCRUM</vt:lpstr>
      <vt:lpstr>PRODUCT BACKLOG</vt:lpstr>
      <vt:lpstr>SCRUM BOARD</vt:lpstr>
      <vt:lpstr>VELOCITY &amp; BURNDOWN</vt:lpstr>
      <vt:lpstr>CONTRATO CLIENTE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Andrew Torres</cp:lastModifiedBy>
  <cp:revision>0</cp:revision>
  <dcterms:created xsi:type="dcterms:W3CDTF">2026-06-23T00:09:05Z</dcterms:created>
  <dcterms:modified xsi:type="dcterms:W3CDTF">2026-06-30T17:44:58Z</dcterms:modified>
  <dc:language>en-US</dc:language>
</cp:coreProperties>
</file>