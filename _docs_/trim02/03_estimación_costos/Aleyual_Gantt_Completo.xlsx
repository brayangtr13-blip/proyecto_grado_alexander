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DO TOTAL PROYECTO" sheetId="1" state="visible" r:id="rId3"/>
    <sheet name="PLANEACIÓN" sheetId="2" state="visible" r:id="rId4"/>
    <sheet name="SCRUM — ÁGIL" sheetId="3" state="visible" r:id="rId5"/>
    <sheet name="RECURSOS HUM" sheetId="4" state="visible" r:id="rId6"/>
    <sheet name="SERVIDOR Y EQUIPOS" sheetId="5" state="visible" r:id="rId7"/>
    <sheet name="INFRAESTRUCTURA TÉCNICA" sheetId="6" state="visible" r:id="rId8"/>
    <sheet name="GASTOS" sheetId="7" state="visible" r:id="rId9"/>
    <sheet name="RECURSOS TECNOLÓGICOS" sheetId="8" state="visible" r:id="rId10"/>
    <sheet name="CONTRATO RECOMENDADO" sheetId="9" state="visible" r:id="rId11"/>
    <sheet name="FUENT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<sst xmlns="http://schemas.openxmlformats.org/spreadsheetml/2006/main" count="1614" uniqueCount="995">
  <si>
    <t xml:space="preserve">  Aleyual — Control Store  |  ESTIMADO TOTAL DEL PROYECTO</t>
  </si>
  <si>
    <t xml:space="preserve">  Feb 2026 → Sep 2027  ·  20 meses  ·  Prestación de Servicios  ·  7 fases  ·  30 entregables</t>
  </si>
  <si>
    <t xml:space="preserve">#</t>
  </si>
  <si>
    <t xml:space="preserve">CATEGORÍA DE COSTO</t>
  </si>
  <si>
    <t xml:space="preserve">% del Proyecto</t>
  </si>
  <si>
    <t xml:space="preserve">Hoja fuente</t>
  </si>
  <si>
    <t xml:space="preserve">VALOR</t>
  </si>
  <si>
    <t xml:space="preserve">I</t>
  </si>
  <si>
    <t xml:space="preserve">RECURSOS PROFESIONALES</t>
  </si>
  <si>
    <t xml:space="preserve">Ver hoja</t>
  </si>
  <si>
    <t xml:space="preserve">II</t>
  </si>
  <si>
    <t xml:space="preserve">RECURSOS TECNOLÓGICOS</t>
  </si>
  <si>
    <t xml:space="preserve">III</t>
  </si>
  <si>
    <t xml:space="preserve">GASTOS ADMINISTRATIVOS</t>
  </si>
  <si>
    <t xml:space="preserve">SUBTOTAL BASE</t>
  </si>
  <si>
    <t xml:space="preserve">IV</t>
  </si>
  <si>
    <t xml:space="preserve">IMPREVISTOS (riesgos y contingencias)</t>
  </si>
  <si>
    <t xml:space="preserve">V</t>
  </si>
  <si>
    <t xml:space="preserve">GANANCIA / UTILIDAD DEL PROYECTO</t>
  </si>
  <si>
    <t xml:space="preserve">COSTO TOTAL DEL PROYECTO  — ¿Cuánto cuesta el Proyecto?</t>
  </si>
  <si>
    <t xml:space="preserve">• Imprevistos 20%: cubre riesgos técnicos, retrasos, cambios de requerimientos. Estándar en proyectos de software colombianos.</t>
  </si>
  <si>
    <t xml:space="preserve">• Ganancia 15%: margen de utilidad sobre el costo total (base + imprevistos). Ref: PMI / PMBOK Colombia.</t>
  </si>
  <si>
    <t xml:space="preserve">• Fuentes salariales: Glassdoor Colombia 2025-2026 · Indeed.com.co · tusalario.org/colombia</t>
  </si>
  <si>
    <t xml:space="preserve">• Fuentes cloud: aws.amazon.com/es/pricing · calculator.aws · Tasa USD/COP: $4.200 (BanRep jun 2026)</t>
  </si>
  <si>
    <t xml:space="preserve">  Aleyual — Control Store  |  Planeación de Actividades  |  Feb 2026 → Sep 2027</t>
  </si>
  <si>
    <t xml:space="preserve">ITEM</t>
  </si>
  <si>
    <t xml:space="preserve">ACTIVIDAD / ENTREGABLE</t>
  </si>
  <si>
    <t xml:space="preserve">EVIDENCIA</t>
  </si>
  <si>
    <t xml:space="preserve">RESPONSABLE</t>
  </si>
  <si>
    <t xml:space="preserve">INICIO</t>
  </si>
  <si>
    <t xml:space="preserve">FIN</t>
  </si>
  <si>
    <t xml:space="preserve">✓ Hecho</t>
  </si>
  <si>
    <t xml:space="preserve">% AVANCE</t>
  </si>
  <si>
    <t xml:space="preserve">1</t>
  </si>
  <si>
    <t xml:space="preserve">ESPECIFICACIÓN DE REQUISITOS</t>
  </si>
  <si>
    <t xml:space="preserve">1.1</t>
  </si>
  <si>
    <t xml:space="preserve">Analizar datos y determinar necesidades del cliente</t>
  </si>
  <si>
    <t xml:space="preserve">Documento de Análisis</t>
  </si>
  <si>
    <t xml:space="preserve">Analista</t>
  </si>
  <si>
    <t xml:space="preserve">☑</t>
  </si>
  <si>
    <t xml:space="preserve">1.2</t>
  </si>
  <si>
    <t xml:space="preserve">Elaborar el Diagrama de Procesos</t>
  </si>
  <si>
    <t xml:space="preserve">Diagrama de Procesos</t>
  </si>
  <si>
    <t xml:space="preserve">1.3</t>
  </si>
  <si>
    <t xml:space="preserve">Elaborar Informe de Requisitos (IEEE-830)</t>
  </si>
  <si>
    <t xml:space="preserve">Documento IEEE-830</t>
  </si>
  <si>
    <t xml:space="preserve">2</t>
  </si>
  <si>
    <t xml:space="preserve">ANÁLISIS Y DISEÑO</t>
  </si>
  <si>
    <t xml:space="preserve">2.1</t>
  </si>
  <si>
    <t xml:space="preserve">Diagramar los Casos de Uso</t>
  </si>
  <si>
    <t xml:space="preserve">Diagrama Casos de Uso</t>
  </si>
  <si>
    <t xml:space="preserve">Arquitecto</t>
  </si>
  <si>
    <t xml:space="preserve">2.2</t>
  </si>
  <si>
    <t xml:space="preserve">Plantillas de Casos de Uso Extendido</t>
  </si>
  <si>
    <t xml:space="preserve">Casos de Uso Extendido</t>
  </si>
  <si>
    <t xml:space="preserve">☐</t>
  </si>
  <si>
    <t xml:space="preserve">2.3</t>
  </si>
  <si>
    <t xml:space="preserve">Estimación de costos — Diagrama de Gantt</t>
  </si>
  <si>
    <t xml:space="preserve">Cronograma / Gantt</t>
  </si>
  <si>
    <t xml:space="preserve">Adm. Proyecto</t>
  </si>
  <si>
    <t xml:space="preserve">2.4</t>
  </si>
  <si>
    <t xml:space="preserve">Control de versiones SCV</t>
  </si>
  <si>
    <t xml:space="preserve">Repositorio Git</t>
  </si>
  <si>
    <t xml:space="preserve">Dev Full-Stack</t>
  </si>
  <si>
    <t xml:space="preserve">3</t>
  </si>
  <si>
    <t xml:space="preserve">DISEÑO TÉCNICO DE DATOS Y ARQUITECTURA</t>
  </si>
  <si>
    <t xml:space="preserve">3.1</t>
  </si>
  <si>
    <t xml:space="preserve">Modelo Entidad-Relación / Crows Foot</t>
  </si>
  <si>
    <t xml:space="preserve">MER / Diagrama BD</t>
  </si>
  <si>
    <t xml:space="preserve">Gestor BD</t>
  </si>
  <si>
    <t xml:space="preserve">3.2</t>
  </si>
  <si>
    <t xml:space="preserve">Normalización 3FN</t>
  </si>
  <si>
    <t xml:space="preserve">Modelo Normalizado</t>
  </si>
  <si>
    <t xml:space="preserve">3.3</t>
  </si>
  <si>
    <t xml:space="preserve">Diccionario de Datos</t>
  </si>
  <si>
    <t xml:space="preserve">Diccionario</t>
  </si>
  <si>
    <t xml:space="preserve">3.4</t>
  </si>
  <si>
    <t xml:space="preserve">Diagrama de Clases UML</t>
  </si>
  <si>
    <t xml:space="preserve">UML Clases</t>
  </si>
  <si>
    <t xml:space="preserve">3.5</t>
  </si>
  <si>
    <t xml:space="preserve">Diagrama de Distribución UML</t>
  </si>
  <si>
    <t xml:space="preserve">UML Despliegue</t>
  </si>
  <si>
    <t xml:space="preserve">3.6</t>
  </si>
  <si>
    <t xml:space="preserve">Prototipo navegable HTML/CSS/JS</t>
  </si>
  <si>
    <t xml:space="preserve">Prototipo Web</t>
  </si>
  <si>
    <t xml:space="preserve">3.7</t>
  </si>
  <si>
    <t xml:space="preserve">SCV — commits y ramas</t>
  </si>
  <si>
    <t xml:space="preserve">4</t>
  </si>
  <si>
    <t xml:space="preserve">DESARROLLO BASE DE DATOS Y FRONTEND</t>
  </si>
  <si>
    <t xml:space="preserve">4.1</t>
  </si>
  <si>
    <t xml:space="preserve">Base de Datos DDL (SQL)</t>
  </si>
  <si>
    <t xml:space="preserve">Script DDL</t>
  </si>
  <si>
    <t xml:space="preserve">4.2</t>
  </si>
  <si>
    <t xml:space="preserve">Script DML — Joins/subconsultas</t>
  </si>
  <si>
    <t xml:space="preserve">Script DML</t>
  </si>
  <si>
    <t xml:space="preserve">4.3</t>
  </si>
  <si>
    <t xml:space="preserve">Seguridad BD — bcrypt/sha256</t>
  </si>
  <si>
    <t xml:space="preserve">Encriptación</t>
  </si>
  <si>
    <t xml:space="preserve">4.4</t>
  </si>
  <si>
    <t xml:space="preserve">Frontend Blade + Sanctum Auth</t>
  </si>
  <si>
    <t xml:space="preserve">Aplicación Web</t>
  </si>
  <si>
    <t xml:space="preserve">4.5</t>
  </si>
  <si>
    <t xml:space="preserve">SCV — historial de versiones</t>
  </si>
  <si>
    <t xml:space="preserve">5</t>
  </si>
  <si>
    <t xml:space="preserve">INTEGRACIÓN API REST</t>
  </si>
  <si>
    <t xml:space="preserve">5.1</t>
  </si>
  <si>
    <t xml:space="preserve">API REST + Sanctum + CORS + Postman</t>
  </si>
  <si>
    <t xml:space="preserve">Documentación API</t>
  </si>
  <si>
    <t xml:space="preserve">Dev Backend</t>
  </si>
  <si>
    <t xml:space="preserve">5.2</t>
  </si>
  <si>
    <t xml:space="preserve">Frontend consume API REST (80% avance)</t>
  </si>
  <si>
    <t xml:space="preserve">App Integrada</t>
  </si>
  <si>
    <t xml:space="preserve">5.3</t>
  </si>
  <si>
    <t xml:space="preserve">6</t>
  </si>
  <si>
    <t xml:space="preserve">APP MÓVIL Y CIERRE DE FRONTEND</t>
  </si>
  <si>
    <t xml:space="preserve">6.1</t>
  </si>
  <si>
    <t xml:space="preserve">Solución web 100% completa</t>
  </si>
  <si>
    <t xml:space="preserve">Aplicación Completa</t>
  </si>
  <si>
    <t xml:space="preserve">6.2</t>
  </si>
  <si>
    <t xml:space="preserve">API REST documentada en Swagger</t>
  </si>
  <si>
    <t xml:space="preserve">Swagger Docs</t>
  </si>
  <si>
    <t xml:space="preserve">6.3</t>
  </si>
  <si>
    <t xml:space="preserve">App móvil — metodología ágil</t>
  </si>
  <si>
    <t xml:space="preserve">Sprint Backlog</t>
  </si>
  <si>
    <t xml:space="preserve">6.4</t>
  </si>
  <si>
    <t xml:space="preserve">App móvil consume API REST</t>
  </si>
  <si>
    <t xml:space="preserve">App Móvil</t>
  </si>
  <si>
    <t xml:space="preserve">6.5</t>
  </si>
  <si>
    <t xml:space="preserve">SCV — entrega trimestral</t>
  </si>
  <si>
    <t xml:space="preserve">7</t>
  </si>
  <si>
    <t xml:space="preserve">PRUEBAS, CALIDAD Y DESPLIEGUE</t>
  </si>
  <si>
    <t xml:space="preserve">7.1</t>
  </si>
  <si>
    <t xml:space="preserve">Pruebas de software</t>
  </si>
  <si>
    <t xml:space="preserve">Casos de Prueba</t>
  </si>
  <si>
    <t xml:space="preserve">Tester</t>
  </si>
  <si>
    <t xml:space="preserve">7.2</t>
  </si>
  <si>
    <t xml:space="preserve">Planes de instalación y respaldo</t>
  </si>
  <si>
    <t xml:space="preserve">Plan de Despliegue</t>
  </si>
  <si>
    <t xml:space="preserve">7.3</t>
  </si>
  <si>
    <t xml:space="preserve">Modelo de calidad ISO/IEC 25010</t>
  </si>
  <si>
    <t xml:space="preserve">Informe de Calidad</t>
  </si>
  <si>
    <t xml:space="preserve">7.4</t>
  </si>
  <si>
    <t xml:space="preserve">Manuales técnico y de usuario</t>
  </si>
  <si>
    <t xml:space="preserve">Manuales</t>
  </si>
  <si>
    <t xml:space="preserve">7.5</t>
  </si>
  <si>
    <t xml:space="preserve">Despliegue en servidores externos</t>
  </si>
  <si>
    <t xml:space="preserve">Diagrama Arquitectura</t>
  </si>
  <si>
    <t xml:space="preserve">7.6</t>
  </si>
  <si>
    <t xml:space="preserve">SCV — entrega final</t>
  </si>
  <si>
    <t xml:space="preserve">NOTA: Las celdas azules (✓ Hecho y % AVANCE) son EDITABLES. Selecciona ☑ en la lista desplegable o escribe el % de avance directamente.</t>
  </si>
  <si>
    <t xml:space="preserve">  Aleyual — Control Store  |  SCRUM — Metodología Ágil  |  Feb 2026 → Sep 2027</t>
  </si>
  <si>
    <t xml:space="preserve">  Sistema de Autoservicio: Módulos Inventario · Ventas · Caja · Domicilios  |  15 Sprints  |  175 Story Points totales</t>
  </si>
  <si>
    <t xml:space="preserve">  ROL</t>
  </si>
  <si>
    <t xml:space="preserve">  RESPONSABLE</t>
  </si>
  <si>
    <t xml:space="preserve">  RESPONSABILIDAD EN CONTROL STORE</t>
  </si>
  <si>
    <t xml:space="preserve">Product Owner</t>
  </si>
  <si>
    <t xml:space="preserve">Administrador Proyecto</t>
  </si>
  <si>
    <t xml:space="preserve">Define y prioriza el Product Backlog. Representa al cliente (Autoservicio Aleyual). Acepta o rechaza entregables de cada Sprint.</t>
  </si>
  <si>
    <t xml:space="preserve">Scrum Master</t>
  </si>
  <si>
    <t xml:space="preserve">Arquitecto de Software</t>
  </si>
  <si>
    <t xml:space="preserve">Facilita las ceremonias Scrum. Elimina impedimentos técnicos. Asegura que el equipo siga el proceso ágil y la arquitectura definida.</t>
  </si>
  <si>
    <t xml:space="preserve">Dev Team</t>
  </si>
  <si>
    <t xml:space="preserve">Dev Full-Stack (×2), Gestor BD, Dev Backend, Tester</t>
  </si>
  <si>
    <t xml:space="preserve">Equipo autoorganizado. Transforma el Sprint Backlog en incrementos funcionales. Estima las historias de usuario y cumple los compromisos del Sprint.</t>
  </si>
  <si>
    <t xml:space="preserve">  CEREMONIAS SCRUM — Control Store</t>
  </si>
  <si>
    <t xml:space="preserve">Ceremonia</t>
  </si>
  <si>
    <t xml:space="preserve">Frecuencia</t>
  </si>
  <si>
    <t xml:space="preserve">Duración</t>
  </si>
  <si>
    <t xml:space="preserve">Participantes</t>
  </si>
  <si>
    <t xml:space="preserve">Entregable</t>
  </si>
  <si>
    <t xml:space="preserve">Sprint Planning</t>
  </si>
  <si>
    <t xml:space="preserve">Inicio de cada Sprint · ≤ 2 horas</t>
  </si>
  <si>
    <t xml:space="preserve">Todo el equipo Scrum</t>
  </si>
  <si>
    <t xml:space="preserve">Sprint Backlog priorizado + compromiso del Sprint</t>
  </si>
  <si>
    <t xml:space="preserve">Daily Scrum</t>
  </si>
  <si>
    <t xml:space="preserve">Cada día hábil del Sprint · 15 minutos</t>
  </si>
  <si>
    <t xml:space="preserve">Dev Team + Scrum Master</t>
  </si>
  <si>
    <t xml:space="preserve">Plan del día: ¿Qué hice? ¿Qué haré? ¿Impedimentos?</t>
  </si>
  <si>
    <t xml:space="preserve">Sprint Review</t>
  </si>
  <si>
    <t xml:space="preserve">Final de cada Sprint · ≤ 1 hora</t>
  </si>
  <si>
    <t xml:space="preserve">Equipo + Product Owner</t>
  </si>
  <si>
    <t xml:space="preserve">Demo del Incremento funcional. PO acepta o rechaza US.</t>
  </si>
  <si>
    <t xml:space="preserve">Sprint Retrospectiva</t>
  </si>
  <si>
    <t xml:space="preserve">Final de cada Sprint · ≤ 45 minutos</t>
  </si>
  <si>
    <t xml:space="preserve">Plan de mejora del proceso para el siguiente Sprint</t>
  </si>
  <si>
    <t xml:space="preserve">Backlog Refinement</t>
  </si>
  <si>
    <t xml:space="preserve">1 vez por semana (mitad del Sprint) · ≤ 1 hora</t>
  </si>
  <si>
    <t xml:space="preserve">PO + Dev Team</t>
  </si>
  <si>
    <t xml:space="preserve">US estimadas, descompuestas y listas para el próximo Sprint</t>
  </si>
  <si>
    <t xml:space="preserve">  PRODUCT BACKLOG — Historias de Usuario (30 US · 175 Story Points)</t>
  </si>
  <si>
    <t xml:space="preserve">ID</t>
  </si>
  <si>
    <t xml:space="preserve">ÉPICA</t>
  </si>
  <si>
    <t xml:space="preserve">ROL</t>
  </si>
  <si>
    <t xml:space="preserve">HISTORIA DE USUARIO</t>
  </si>
  <si>
    <t xml:space="preserve">CRITERIOS DE ACEPTACIÓN</t>
  </si>
  <si>
    <t xml:space="preserve">SP</t>
  </si>
  <si>
    <t xml:space="preserve">PRIORIDAD</t>
  </si>
  <si>
    <t xml:space="preserve">SPRINT</t>
  </si>
  <si>
    <t xml:space="preserve">ESTADO</t>
  </si>
  <si>
    <t xml:space="preserve">US-01</t>
  </si>
  <si>
    <t xml:space="preserve">Autenticación</t>
  </si>
  <si>
    <t xml:space="preserve">Como Administrador</t>
  </si>
  <si>
    <t xml:space="preserve">quiero Iniciar sesión con usuario y contraseña segura</t>
  </si>
  <si>
    <t xml:space="preserve">Login con credenciales / Token Sanctum / Redirección por rol</t>
  </si>
  <si>
    <t xml:space="preserve">Alta</t>
  </si>
  <si>
    <t xml:space="preserve">Sprint 7</t>
  </si>
  <si>
    <t xml:space="preserve">19 Oct 2026</t>
  </si>
  <si>
    <t xml:space="preserve">30 Oct 2026</t>
  </si>
  <si>
    <t xml:space="preserve">Pendiente</t>
  </si>
  <si>
    <t xml:space="preserve">US-02</t>
  </si>
  <si>
    <t xml:space="preserve">Como Sistema</t>
  </si>
  <si>
    <t xml:space="preserve">quiero Gestionar roles Admin, Vendedor y Domiciliario</t>
  </si>
  <si>
    <t xml:space="preserve">Roles en BD / Permisos por módulo / Middleware Sanctum</t>
  </si>
  <si>
    <t xml:space="preserve">06 Nov 2026</t>
  </si>
  <si>
    <t xml:space="preserve">US-03</t>
  </si>
  <si>
    <t xml:space="preserve">quiero Crear y gestionar usuarios del sistema</t>
  </si>
  <si>
    <t xml:space="preserve">CRUD usuarios / Asignar rol / Cambio de contraseña</t>
  </si>
  <si>
    <t xml:space="preserve">Sprint 8</t>
  </si>
  <si>
    <t xml:space="preserve">09 Nov 2026</t>
  </si>
  <si>
    <t xml:space="preserve">20 Nov 2026</t>
  </si>
  <si>
    <t xml:space="preserve">US-04</t>
  </si>
  <si>
    <t xml:space="preserve">Inventario</t>
  </si>
  <si>
    <t xml:space="preserve">quiero Registrar productos con nombre, precio, stock y categoría</t>
  </si>
  <si>
    <t xml:space="preserve">Formulario producto / Validaciones / Guardar en BD</t>
  </si>
  <si>
    <t xml:space="preserve">US-05</t>
  </si>
  <si>
    <t xml:space="preserve">Como Vendedor</t>
  </si>
  <si>
    <t xml:space="preserve">quiero Buscar productos por nombre o código de barras</t>
  </si>
  <si>
    <t xml:space="preserve">Búsqueda en tiempo real / Filtros por categoría</t>
  </si>
  <si>
    <t xml:space="preserve">Sprint 9</t>
  </si>
  <si>
    <t xml:space="preserve">23 Nov 2026</t>
  </si>
  <si>
    <t xml:space="preserve">04 Dic 2026</t>
  </si>
  <si>
    <t xml:space="preserve">US-06</t>
  </si>
  <si>
    <t xml:space="preserve">quiero Actualizar el stock de productos manualmente</t>
  </si>
  <si>
    <t xml:space="preserve">Registro de ajuste / Motivo obligatorio / Historial</t>
  </si>
  <si>
    <t xml:space="preserve">Media</t>
  </si>
  <si>
    <t xml:space="preserve">US-07</t>
  </si>
  <si>
    <t xml:space="preserve">quiero Alertar cuando el stock esté por debajo del umbral</t>
  </si>
  <si>
    <t xml:space="preserve">Umbral configurable / Alerta visual en dashboard</t>
  </si>
  <si>
    <t xml:space="preserve">07 Dic 2026</t>
  </si>
  <si>
    <t xml:space="preserve">11 Dic 2026</t>
  </si>
  <si>
    <t xml:space="preserve">US-08</t>
  </si>
  <si>
    <t xml:space="preserve">quiero Gestionar categorías y subcategorías de productos</t>
  </si>
  <si>
    <t xml:space="preserve">CRUD categorías / Jerarquía padre-hijo</t>
  </si>
  <si>
    <t xml:space="preserve">US-09</t>
  </si>
  <si>
    <t xml:space="preserve">quiero Ver historial de movimientos de inventario</t>
  </si>
  <si>
    <t xml:space="preserve">Lista de movimientos / Filtro fecha-producto / Exportar</t>
  </si>
  <si>
    <t xml:space="preserve">Baja</t>
  </si>
  <si>
    <t xml:space="preserve">Sprint 10</t>
  </si>
  <si>
    <t xml:space="preserve">11 Ene 2027</t>
  </si>
  <si>
    <t xml:space="preserve">22 Ene 2027</t>
  </si>
  <si>
    <t xml:space="preserve">US-10</t>
  </si>
  <si>
    <t xml:space="preserve">Ventas</t>
  </si>
  <si>
    <t xml:space="preserve">quiero Agregar productos al carrito de compra</t>
  </si>
  <si>
    <t xml:space="preserve">Búsqueda rápida / Cantidad ajustable / Total automático</t>
  </si>
  <si>
    <t xml:space="preserve">18 Dic 2026</t>
  </si>
  <si>
    <t xml:space="preserve">US-11</t>
  </si>
  <si>
    <t xml:space="preserve">quiero Procesar una venta y generar recibo imprimible</t>
  </si>
  <si>
    <t xml:space="preserve">Registro venta / IVA automático / Recibo PDF</t>
  </si>
  <si>
    <t xml:space="preserve">29 Ene 2027</t>
  </si>
  <si>
    <t xml:space="preserve">US-12</t>
  </si>
  <si>
    <t xml:space="preserve">quiero Aplicar descuentos a productos o al total de la venta</t>
  </si>
  <si>
    <t xml:space="preserve">Descuento % o valor / Registro en venta / Autorización</t>
  </si>
  <si>
    <t xml:space="preserve">25 Ene 2027</t>
  </si>
  <si>
    <t xml:space="preserve">05 Feb 2027</t>
  </si>
  <si>
    <t xml:space="preserve">US-13</t>
  </si>
  <si>
    <t xml:space="preserve">quiero Calcular IVA automáticamente según categoría del producto</t>
  </si>
  <si>
    <t xml:space="preserve">IVA configurable / Desglose en recibo / 0% o 19%</t>
  </si>
  <si>
    <t xml:space="preserve">US-14</t>
  </si>
  <si>
    <t xml:space="preserve">quiero Ver historial de ventas del turno actual</t>
  </si>
  <si>
    <t xml:space="preserve">Lista ventas del turno / Total acumulado / Filtros</t>
  </si>
  <si>
    <t xml:space="preserve">US-15</t>
  </si>
  <si>
    <t xml:space="preserve">Caja</t>
  </si>
  <si>
    <t xml:space="preserve">quiero Abrir y cerrar la caja diaria con monto inicial</t>
  </si>
  <si>
    <t xml:space="preserve">Registro apertura con efectivo / Cuadre al cierre</t>
  </si>
  <si>
    <t xml:space="preserve">Sprint 11</t>
  </si>
  <si>
    <t xml:space="preserve">08 Feb 2027</t>
  </si>
  <si>
    <t xml:space="preserve">19 Feb 2027</t>
  </si>
  <si>
    <t xml:space="preserve">US-16</t>
  </si>
  <si>
    <t xml:space="preserve">quiero Registrar entradas y salidas de dinero con tipo y motivo</t>
  </si>
  <si>
    <t xml:space="preserve">Tipos: venta/abono/gasto / Observación obligatoria</t>
  </si>
  <si>
    <t xml:space="preserve">US-17</t>
  </si>
  <si>
    <t xml:space="preserve">quiero Ver resumen de caja al cierre del día</t>
  </si>
  <si>
    <t xml:space="preserve">Ingresos / Egresos / Diferencia / Firma digital</t>
  </si>
  <si>
    <t xml:space="preserve">22 Feb 2027</t>
  </si>
  <si>
    <t xml:space="preserve">05 Mar 2027</t>
  </si>
  <si>
    <t xml:space="preserve">US-18</t>
  </si>
  <si>
    <t xml:space="preserve">Domicilios</t>
  </si>
  <si>
    <t xml:space="preserve">Como Cliente WhatsApp</t>
  </si>
  <si>
    <t xml:space="preserve">quiero Hacer un pedido de domicilio por WhatsApp (chatbot)</t>
  </si>
  <si>
    <t xml:space="preserve">Flujo conversación / Menú productos / Confirmar pedido</t>
  </si>
  <si>
    <t xml:space="preserve">Sprint 12</t>
  </si>
  <si>
    <t xml:space="preserve">21 Apr 2027</t>
  </si>
  <si>
    <t xml:space="preserve">09 May 2027</t>
  </si>
  <si>
    <t xml:space="preserve">US-19</t>
  </si>
  <si>
    <t xml:space="preserve">Como Domiciliario</t>
  </si>
  <si>
    <t xml:space="preserve">quiero Ver los pedidos de domicilio asignados a mí</t>
  </si>
  <si>
    <t xml:space="preserve">Lista pedidos / Dirección / Productos / Estado</t>
  </si>
  <si>
    <t xml:space="preserve">US-20</t>
  </si>
  <si>
    <t xml:space="preserve">quiero Gestionar y asignar pedidos de domicilio al personal</t>
  </si>
  <si>
    <t xml:space="preserve">Asignar domiciliario / Cambiar estado / Vista mapa</t>
  </si>
  <si>
    <t xml:space="preserve">12 May 2027</t>
  </si>
  <si>
    <t xml:space="preserve">23 May 2027</t>
  </si>
  <si>
    <t xml:space="preserve">US-21</t>
  </si>
  <si>
    <t xml:space="preserve">quiero Recibir confirmación y actualizaciones del pedido por WhatsApp</t>
  </si>
  <si>
    <t xml:space="preserve">Mensaje confirmación / Notif. estado / ETA estimado</t>
  </si>
  <si>
    <t xml:space="preserve">US-22</t>
  </si>
  <si>
    <t xml:space="preserve">Reportes</t>
  </si>
  <si>
    <t xml:space="preserve">quiero Ver dashboard con métricas clave del negocio</t>
  </si>
  <si>
    <t xml:space="preserve">Ventas del día / Productos top / Estado caja / Gráficas</t>
  </si>
  <si>
    <t xml:space="preserve">US-23</t>
  </si>
  <si>
    <t xml:space="preserve">quiero Generar reportes de ventas por período de tiempo</t>
  </si>
  <si>
    <t xml:space="preserve">Filtro fechas / Gráfica ventas / Total por categoría</t>
  </si>
  <si>
    <t xml:space="preserve">Sprint 13</t>
  </si>
  <si>
    <t xml:space="preserve">26 May 2027</t>
  </si>
  <si>
    <t xml:space="preserve">13 Jun 2027</t>
  </si>
  <si>
    <t xml:space="preserve">US-24</t>
  </si>
  <si>
    <t xml:space="preserve">quiero Ver reporte de inventario actual con alertas de stock</t>
  </si>
  <si>
    <t xml:space="preserve">Lista productos / Stock / Umbral / Alertas críticas</t>
  </si>
  <si>
    <t xml:space="preserve">06 Jun 2027</t>
  </si>
  <si>
    <t xml:space="preserve">US-25</t>
  </si>
  <si>
    <t xml:space="preserve">quiero Exportar reportes de ventas e inventario en PDF</t>
  </si>
  <si>
    <t xml:space="preserve">Botón exportar / Formato profesional con logo Aleyual</t>
  </si>
  <si>
    <t xml:space="preserve">09 Jun 2027</t>
  </si>
  <si>
    <t xml:space="preserve">20 Jun 2027</t>
  </si>
  <si>
    <t xml:space="preserve">US-26</t>
  </si>
  <si>
    <t xml:space="preserve">quiero Ver pedidos asignados en la app móvil (React Native)</t>
  </si>
  <si>
    <t xml:space="preserve">Lista sincronizada API / Push notifications / Offline</t>
  </si>
  <si>
    <t xml:space="preserve">US-27</t>
  </si>
  <si>
    <t xml:space="preserve">quiero Actualizar el estado del pedido desde la app móvil</t>
  </si>
  <si>
    <t xml:space="preserve">Botones estado / Sincronización real-time con API</t>
  </si>
  <si>
    <t xml:space="preserve">US-28</t>
  </si>
  <si>
    <t xml:space="preserve">Como Cliente</t>
  </si>
  <si>
    <t xml:space="preserve">quiero Rastrear el estado del pedido en tiempo real</t>
  </si>
  <si>
    <t xml:space="preserve">Vista estado / Mapa domiciliario / Notificaciones</t>
  </si>
  <si>
    <t xml:space="preserve">Sprint 14</t>
  </si>
  <si>
    <t xml:space="preserve">23 Jun 2027</t>
  </si>
  <si>
    <t xml:space="preserve">04 Jul 2027</t>
  </si>
  <si>
    <t xml:space="preserve">US-29</t>
  </si>
  <si>
    <t xml:space="preserve">quiero Acceder al dashboard básico de métricas desde la app</t>
  </si>
  <si>
    <t xml:space="preserve">Ventas día / Alertas stock / Pedidos pendientes</t>
  </si>
  <si>
    <t xml:space="preserve">07 Jul 2027</t>
  </si>
  <si>
    <t xml:space="preserve">18 Jul 2027</t>
  </si>
  <si>
    <t xml:space="preserve">US-30</t>
  </si>
  <si>
    <t xml:space="preserve">quiero Hacer pedidos de domicilio desde la app móvil</t>
  </si>
  <si>
    <t xml:space="preserve">Catálogo / Carrito / Dirección / Pago contra entrega</t>
  </si>
  <si>
    <t xml:space="preserve">TOTAL STORY POINTS DEL PRODUCT BACKLOG</t>
  </si>
  <si>
    <t xml:space="preserve">Alta: =COUNTIF(G19:G48,"Alta") historias</t>
  </si>
  <si>
    <t xml:space="preserve">  SPRINT PLANNING — Planificación de los 15 Sprints  |  Duración: 3–4 semanas por Sprint</t>
  </si>
  <si>
    <t xml:space="preserve">PERÍODO</t>
  </si>
  <si>
    <t xml:space="preserve">OBJETIVO / ENTREGABLE</t>
  </si>
  <si>
    <t xml:space="preserve">HISTORIAS INCLUIDAS</t>
  </si>
  <si>
    <t xml:space="preserve">ACUM.</t>
  </si>
  <si>
    <t xml:space="preserve">TRIMESTRE</t>
  </si>
  <si>
    <t xml:space="preserve">FASE</t>
  </si>
  <si>
    <t xml:space="preserve">VELOC.</t>
  </si>
  <si>
    <t xml:space="preserve">0</t>
  </si>
  <si>
    <t xml:space="preserve">Sprint 0</t>
  </si>
  <si>
    <t xml:space="preserve">02 Feb – 06 Mar 2026</t>
  </si>
  <si>
    <t xml:space="preserve">Kickoff: Análisis de requisitos, IEEE-830, configuración del proyecto</t>
  </si>
  <si>
    <t xml:space="preserve">—</t>
  </si>
  <si>
    <t xml:space="preserve">T1</t>
  </si>
  <si>
    <t xml:space="preserve">Especificación</t>
  </si>
  <si>
    <t xml:space="preserve">Completado</t>
  </si>
  <si>
    <t xml:space="preserve">Sprint 1</t>
  </si>
  <si>
    <t xml:space="preserve">09 Mar – 01 Abr 2026</t>
  </si>
  <si>
    <t xml:space="preserve">Diagramas de Casos de Uso y plantillas extendidas</t>
  </si>
  <si>
    <t xml:space="preserve">US planning</t>
  </si>
  <si>
    <t xml:space="preserve">T2</t>
  </si>
  <si>
    <t xml:space="preserve">Análisis</t>
  </si>
  <si>
    <t xml:space="preserve">Sprint 2</t>
  </si>
  <si>
    <t xml:space="preserve">13 Abr – 08 May 2026</t>
  </si>
  <si>
    <t xml:space="preserve">Wireframes y prototipos Figma. Setup repositorio Git/SCV</t>
  </si>
  <si>
    <t xml:space="preserve">Diseño</t>
  </si>
  <si>
    <t xml:space="preserve">Sprint 3</t>
  </si>
  <si>
    <t xml:space="preserve">11 May – 05 Jun 2026</t>
  </si>
  <si>
    <t xml:space="preserve">Modelo relacional Crows Foot, diccionario de datos, normalización 3FN</t>
  </si>
  <si>
    <t xml:space="preserve">T3</t>
  </si>
  <si>
    <t xml:space="preserve">Diseño BD</t>
  </si>
  <si>
    <t xml:space="preserve">Sprint 4</t>
  </si>
  <si>
    <t xml:space="preserve">08 Jun – 03 Jul 2026</t>
  </si>
  <si>
    <t xml:space="preserve">Diagramas UML (Clases + Distribución). Prototipo navegable HTML/CSS/JS</t>
  </si>
  <si>
    <t xml:space="preserve">Arquitectura</t>
  </si>
  <si>
    <t xml:space="preserve">Sprint 5</t>
  </si>
  <si>
    <t xml:space="preserve">20 Jul – 14 Ago 2026</t>
  </si>
  <si>
    <t xml:space="preserve">DDL/DML SQL. Seguridad BD: bcrypt, sha256, roles</t>
  </si>
  <si>
    <t xml:space="preserve">Base de Datos</t>
  </si>
  <si>
    <t xml:space="preserve">Sprint 6</t>
  </si>
  <si>
    <t xml:space="preserve">17 Ago – 09 Oct 2026</t>
  </si>
  <si>
    <t xml:space="preserve">Prototipo navegable completo. Frontend base Blade + configuración Sanctum</t>
  </si>
  <si>
    <t xml:space="preserve">T3-T4</t>
  </si>
  <si>
    <t xml:space="preserve">Prototipo</t>
  </si>
  <si>
    <t xml:space="preserve">En Progreso</t>
  </si>
  <si>
    <t xml:space="preserve">19 Oct – 06 Nov 2026</t>
  </si>
  <si>
    <t xml:space="preserve">US-01, US-02 — Sistema de autenticación y roles</t>
  </si>
  <si>
    <t xml:space="preserve">US-01, US-02</t>
  </si>
  <si>
    <t xml:space="preserve">T4</t>
  </si>
  <si>
    <t xml:space="preserve">Desarrollo</t>
  </si>
  <si>
    <t xml:space="preserve">13</t>
  </si>
  <si>
    <t xml:space="preserve">8</t>
  </si>
  <si>
    <t xml:space="preserve">09 Nov – 04 Dic 2026</t>
  </si>
  <si>
    <t xml:space="preserve">US-03, US-04, US-08 — Gestión usuarios, productos y categorías</t>
  </si>
  <si>
    <t xml:space="preserve">US-03,04,08</t>
  </si>
  <si>
    <t xml:space="preserve">9</t>
  </si>
  <si>
    <t xml:space="preserve">07 Dic – 18 Dic 2026</t>
  </si>
  <si>
    <t xml:space="preserve">US-05, US-06, US-07, US-10, US-13 — Inventario y carrito básico</t>
  </si>
  <si>
    <t xml:space="preserve">US-05,06,07,10,13</t>
  </si>
  <si>
    <t xml:space="preserve">16</t>
  </si>
  <si>
    <t xml:space="preserve">10</t>
  </si>
  <si>
    <t xml:space="preserve">09 Ene – 29 Ene 2027</t>
  </si>
  <si>
    <t xml:space="preserve">US-09, US-11, US-12, US-14 — Historial inventario, ventas y descuentos</t>
  </si>
  <si>
    <t xml:space="preserve">US-09,11,12,14</t>
  </si>
  <si>
    <t xml:space="preserve">T5</t>
  </si>
  <si>
    <t xml:space="preserve">API/Frontend</t>
  </si>
  <si>
    <t xml:space="preserve">19</t>
  </si>
  <si>
    <t xml:space="preserve">11</t>
  </si>
  <si>
    <t xml:space="preserve">01 Feb – 05 Mar 2027</t>
  </si>
  <si>
    <t xml:space="preserve">US-15, US-16, US-17, US-22 — Caja y Dashboard principal</t>
  </si>
  <si>
    <t xml:space="preserve">US-15,16,17,22</t>
  </si>
  <si>
    <t xml:space="preserve">23</t>
  </si>
  <si>
    <t xml:space="preserve">12</t>
  </si>
  <si>
    <t xml:space="preserve">21 Abr – 23 May 2027</t>
  </si>
  <si>
    <t xml:space="preserve">US-18, US-19, US-20, US-21 — Módulo domicilios y chatbot WhatsApp</t>
  </si>
  <si>
    <t xml:space="preserve">US-18,19,20,21</t>
  </si>
  <si>
    <t xml:space="preserve">T6</t>
  </si>
  <si>
    <t xml:space="preserve">App/Integración</t>
  </si>
  <si>
    <t xml:space="preserve">34</t>
  </si>
  <si>
    <t xml:space="preserve">26 May – 20 Jun 2027</t>
  </si>
  <si>
    <t xml:space="preserve">US-23,24,25,26,27 — Reportes, exportación y app móvil domiciliario</t>
  </si>
  <si>
    <t xml:space="preserve">US-23,24,25,26,27</t>
  </si>
  <si>
    <t xml:space="preserve">31</t>
  </si>
  <si>
    <t xml:space="preserve">14</t>
  </si>
  <si>
    <t xml:space="preserve">23 Jun – 18 Jul 2027</t>
  </si>
  <si>
    <t xml:space="preserve">US-28, US-29, US-30 — App móvil cliente y rastreo de pedidos</t>
  </si>
  <si>
    <t xml:space="preserve">US-28,29,30</t>
  </si>
  <si>
    <t xml:space="preserve">T6-T7</t>
  </si>
  <si>
    <t xml:space="preserve">26</t>
  </si>
  <si>
    <t xml:space="preserve">15</t>
  </si>
  <si>
    <t xml:space="preserve">Sprint 15</t>
  </si>
  <si>
    <t xml:space="preserve">28 Jul – 11 Sep 2027</t>
  </si>
  <si>
    <t xml:space="preserve">Sprint de calidad: pruebas ISO 25010, despliegue servidores, manuales</t>
  </si>
  <si>
    <t xml:space="preserve">US QA/Deploy</t>
  </si>
  <si>
    <t xml:space="preserve">T7</t>
  </si>
  <si>
    <t xml:space="preserve">QA/Deploy</t>
  </si>
  <si>
    <t xml:space="preserve">TOTAL STORY POINTS ENTREGADOS — Velocidad promedio estimada: 18 SP/Sprint de desarrollo</t>
  </si>
  <si>
    <t xml:space="preserve">15 Sprints · 8 Sprints de desarrollo activo (SP &gt; 0) · Sprints 0–6 y 15: análisis, diseño, QA y despliegue</t>
  </si>
  <si>
    <t xml:space="preserve">  DEFINITION OF DONE (DoD) — Criterios de Aceptación Global para Control Store</t>
  </si>
  <si>
    <t xml:space="preserve">Código</t>
  </si>
  <si>
    <t xml:space="preserve">El código pasa todos los tests unitarios (≥ 80% cobertura) y no genera errores en consola.</t>
  </si>
  <si>
    <t xml:space="preserve">Revisión</t>
  </si>
  <si>
    <t xml:space="preserve">La Historia de Usuario fue revisada y aprobada en code review por al menos 1 compañero del equipo.</t>
  </si>
  <si>
    <t xml:space="preserve">Integración</t>
  </si>
  <si>
    <t xml:space="preserve">La funcionalidad está integrada en la rama main/develop del repositorio Git (SCV) sin conflictos.</t>
  </si>
  <si>
    <t xml:space="preserve">API</t>
  </si>
  <si>
    <t xml:space="preserve">Si incluye endpoints, están documentados en Postman (T5) y Swagger (T6). Respuesta JSON validada.</t>
  </si>
  <si>
    <t xml:space="preserve">BD</t>
  </si>
  <si>
    <t xml:space="preserve">Los scripts DDL/DML están versionados. No hay datos de prueba en producción. Backups verificados.</t>
  </si>
  <si>
    <t xml:space="preserve">UI/UX</t>
  </si>
  <si>
    <t xml:space="preserve">La interfaz cumple el prototipo Figma aprobado. Funciona en Chrome, Firefox y resolución 1280px.</t>
  </si>
  <si>
    <t xml:space="preserve">Seguridad</t>
  </si>
  <si>
    <t xml:space="preserve">Rutas protegidas con Sanctum. Contraseñas con bcrypt. Sin datos sensibles expuestos en frontend.</t>
  </si>
  <si>
    <t xml:space="preserve">Aceptación</t>
  </si>
  <si>
    <t xml:space="preserve">El Product Owner (Adm. Proyecto) aprobó la demostración en el Sprint Review. Criterios cumplidos.</t>
  </si>
  <si>
    <t xml:space="preserve">  Aleyual — Control Store  |  Recursos Humanos  |  Prestación de Servicios (Art. 34 C.S.T.)</t>
  </si>
  <si>
    <t xml:space="preserve">PROFESIONAL</t>
  </si>
  <si>
    <t xml:space="preserve">CANT</t>
  </si>
  <si>
    <t xml:space="preserve">SALARIO MENSUAL</t>
  </si>
  <si>
    <t xml:space="preserve">MES</t>
  </si>
  <si>
    <t xml:space="preserve">V/DIA</t>
  </si>
  <si>
    <t xml:space="preserve">HORAS/DIA</t>
  </si>
  <si>
    <t xml:space="preserve">V/HORA</t>
  </si>
  <si>
    <t xml:space="preserve">DIAS</t>
  </si>
  <si>
    <t xml:space="preserve">SALARIO REAL</t>
  </si>
  <si>
    <t xml:space="preserve">Gestor de Bases de Datos</t>
  </si>
  <si>
    <t xml:space="preserve">Desarrollador Web</t>
  </si>
  <si>
    <t xml:space="preserve">Desarrollador Backend</t>
  </si>
  <si>
    <t xml:space="preserve">PARCIAL</t>
  </si>
  <si>
    <t xml:space="preserve">NOTA: La contratación de los profesionales se hará por Prestación de Servicios según el tiempo que se requiera en el proyecto (Art. 34 C.S.T.)</t>
  </si>
  <si>
    <t xml:space="preserve">Fuentes de honorarios (prestación de servicios, mercado Colombia 2026):</t>
  </si>
  <si>
    <t xml:space="preserve">• Glassdoor Colombia: glassdoor.com.mx/Sueldos/colombia-desarrollador → rango $3.0M–$6.8M/mes para Dev Software</t>
  </si>
  <si>
    <t xml:space="preserve">• Indeed Colombia: co.indeed.com/career/desarrollador-de-software/salaries → promedio $3.1M/mes (actualizado mayo 2026)</t>
  </si>
  <si>
    <t xml:space="preserve">• tusalario.org/colombia → rango $3.2M–$17.4M/mes para Dev Software (2026)</t>
  </si>
  <si>
    <t xml:space="preserve">• Coderhouse Colombia: coderhouse.com/us/sueldos → Full Stack Senior desde $9M/mes, Mid-level $5M–$7M/mes</t>
  </si>
  <si>
    <t xml:space="preserve">• Glassdoor Bogotá: $3.8M/mes promedio Desarrollador (rango $2.2M–$12.5M/mes)</t>
  </si>
  <si>
    <t xml:space="preserve">  Aleyual — Control Store  |  Equipos de Cómputo  |  4 PCs trabajadores + 1 Servidor (ya existente)</t>
  </si>
  <si>
    <t xml:space="preserve">  4 trabajadores: $3.840.000 c/u (solo depreciación va al presupuesto) | Servidor: YA LO TIENE Aleyual — $0 de compra</t>
  </si>
  <si>
    <t xml:space="preserve">  RESUMEN — 5 EQUIPOS DEL PROYECTO</t>
  </si>
  <si>
    <t xml:space="preserve">EQUIPO</t>
  </si>
  <si>
    <t xml:space="preserve">ROL EN EL PROYECTO</t>
  </si>
  <si>
    <t xml:space="preserve">TIPO</t>
  </si>
  <si>
    <t xml:space="preserve">¿SE PRESUPUESTA?</t>
  </si>
  <si>
    <t xml:space="preserve">NOTA</t>
  </si>
  <si>
    <t xml:space="preserve">PC 1 — Trabajador A</t>
  </si>
  <si>
    <t xml:space="preserve">Estación de desarrollo</t>
  </si>
  <si>
    <t xml:space="preserve">Propio del trabajador</t>
  </si>
  <si>
    <t xml:space="preserve">Solo depreciación</t>
  </si>
  <si>
    <t xml:space="preserve">18 meses trabajados</t>
  </si>
  <si>
    <t xml:space="preserve">PC 2 — Trabajador B</t>
  </si>
  <si>
    <t xml:space="preserve">PC 4 — Trabajador C</t>
  </si>
  <si>
    <t xml:space="preserve">PC 5 — Trabajador D</t>
  </si>
  <si>
    <t xml:space="preserve">PC 3 — Servidor de la tienda</t>
  </si>
  <si>
    <t xml:space="preserve">Corre API+BD+Frontend en Aleyual</t>
  </si>
  <si>
    <t xml:space="preserve">YA EXISTE — propiedad de Aleyual</t>
  </si>
  <si>
    <t xml:space="preserve">NO — equipo ya propio</t>
  </si>
  <si>
    <t xml:space="preserve">Sin compra ni depreciación</t>
  </si>
  <si>
    <t xml:space="preserve">VALOR TOTAL 5 EQUIPOS (referencia de mercado)</t>
  </si>
  <si>
    <t xml:space="preserve">Solo se presupuesta: depreciación 4 PCs trabajadores. PC3 = $0 (ya existe)</t>
  </si>
  <si>
    <t xml:space="preserve">  PC 1 y PC 2 — ESTACIONES DE DESARROLLO (idénticas · depreciación por 18 MESES trabajados)</t>
  </si>
  <si>
    <t xml:space="preserve">COMPONENTE</t>
  </si>
  <si>
    <t xml:space="preserve">MODELO / ESPECIFICACIÓN</t>
  </si>
  <si>
    <t xml:space="preserve">FUNCIÓN</t>
  </si>
  <si>
    <t xml:space="preserve">PRECIO</t>
  </si>
  <si>
    <t xml:space="preserve">JUSTIFICACIÓN</t>
  </si>
  <si>
    <t xml:space="preserve">Procesador (CPU)</t>
  </si>
  <si>
    <t xml:space="preserve">AMD Ryzen 5 5600 · 6C/12T · 3.5–4.4 GHz · 35 MB caché AM4</t>
  </si>
  <si>
    <t xml:space="preserve">Procesamiento</t>
  </si>
  <si>
    <t xml:space="preserve">Compila assets + corre servidor local de desarrollo simultáneamente sin lag</t>
  </si>
  <si>
    <t xml:space="preserve">Crítico</t>
  </si>
  <si>
    <t xml:space="preserve">Tarjeta madre</t>
  </si>
  <si>
    <t xml:space="preserve">MSI B550-A PRO · AM4 · ATX · 4 slots DDR4 · PCIe 4.0</t>
  </si>
  <si>
    <t xml:space="preserve">Placa base</t>
  </si>
  <si>
    <t xml:space="preserve">Plataforma AM4 estable. PCIe 4.0 para SSD rápido de desarrollo</t>
  </si>
  <si>
    <t xml:space="preserve">Memoria RAM</t>
  </si>
  <si>
    <t xml:space="preserve">16 GB DDR4 3200 MHz · Kingston Fury Beast · 2×8 GB</t>
  </si>
  <si>
    <t xml:space="preserve">RAM</t>
  </si>
  <si>
    <t xml:space="preserve">VS Code + Chrome + Postman + Laravel local corriendo a la vez sin swap</t>
  </si>
  <si>
    <t xml:space="preserve">SSD NVMe 1 TB</t>
  </si>
  <si>
    <t xml:space="preserve">Kingston NV2 M.2 · Lectura 3.500 MB/s</t>
  </si>
  <si>
    <t xml:space="preserve">Almacenamiento</t>
  </si>
  <si>
    <t xml:space="preserve">OS + proyectos + entornos node_modules + BD local de pruebas</t>
  </si>
  <si>
    <t xml:space="preserve">Fuente de poder</t>
  </si>
  <si>
    <t xml:space="preserve">Thermaltake Smart 600W · 80+ Bronze · ATX</t>
  </si>
  <si>
    <t xml:space="preserve">Alimentación</t>
  </si>
  <si>
    <t xml:space="preserve">600W eficiente para Ryzen 5 sin GPU dedicada. Protecciones eléctricas</t>
  </si>
  <si>
    <t xml:space="preserve">Gabinete</t>
  </si>
  <si>
    <t xml:space="preserve">Thermaltake Versa H17 · Micro-ATX · Panel lateral</t>
  </si>
  <si>
    <t xml:space="preserve">Carcasa</t>
  </si>
  <si>
    <t xml:space="preserve">Compacto para escritorio de trabajo. Buen flujo de aire</t>
  </si>
  <si>
    <t xml:space="preserve">Medio</t>
  </si>
  <si>
    <t xml:space="preserve">Monitor 24" FHD</t>
  </si>
  <si>
    <t xml:space="preserve">LG 24MK430H · FHD 1080p IPS · 75Hz · HDMI</t>
  </si>
  <si>
    <t xml:space="preserve">Display</t>
  </si>
  <si>
    <t xml:space="preserve">24" IPS para sesiones largas de programación. Colores precisos para UI/UX</t>
  </si>
  <si>
    <t xml:space="preserve">Teclado</t>
  </si>
  <si>
    <t xml:space="preserve">Logitech K280e Pro USB · Silencioso · Ergonómico</t>
  </si>
  <si>
    <t xml:space="preserve">Periférico</t>
  </si>
  <si>
    <t xml:space="preserve">Cómodo para largas sesiones de código. Silencioso en trabajo compartido</t>
  </si>
  <si>
    <t xml:space="preserve">Alto</t>
  </si>
  <si>
    <t xml:space="preserve">Mouse</t>
  </si>
  <si>
    <t xml:space="preserve">Logitech M100 USB · 1000 DPI · Plug &amp; Play</t>
  </si>
  <si>
    <t xml:space="preserve">Confiable y preciso. Sin drivers. Compatible Ubuntu y Windows</t>
  </si>
  <si>
    <t xml:space="preserve">UPS 750VA</t>
  </si>
  <si>
    <t xml:space="preserve">Forza NT-751 · 750VA/375W · 6 tomas · Protección picos</t>
  </si>
  <si>
    <t xml:space="preserve">Energía</t>
  </si>
  <si>
    <t xml:space="preserve">Protege de picos eléctricos frecuentes en Colombia. Esencial para no perder trabajo</t>
  </si>
  <si>
    <t xml:space="preserve">Audífonos + Mic</t>
  </si>
  <si>
    <t xml:space="preserve">HyperX Cloud Stinger · USB · Micrófono integrado</t>
  </si>
  <si>
    <t xml:space="preserve">Audio</t>
  </si>
  <si>
    <t xml:space="preserve">Reuniones Daily Scrum, Sprint Review y comunicación remota con el equipo</t>
  </si>
  <si>
    <t xml:space="preserve">Webcam HD</t>
  </si>
  <si>
    <t xml:space="preserve">Logitech C270 · 720p · USB · Clip monitor</t>
  </si>
  <si>
    <t xml:space="preserve">Video</t>
  </si>
  <si>
    <t xml:space="preserve">Demos Sprint Review, videoconferencias con instructor SENA</t>
  </si>
  <si>
    <t xml:space="preserve">TOTAL PC 1 / PC 2 (cada estación) — valor de referencia, SOLO se presupuesta depreciación</t>
  </si>
  <si>
    <t xml:space="preserve">  PC 4 y PC 5 — NUEVAS ESTACIONES DE DESARROLLO (idénticas a PC1/PC2 · depreciación por 18 MESES trabajados)</t>
  </si>
  <si>
    <t xml:space="preserve">TOTAL PC 4 / PC 5 (cada estación) — valor de referencia, SOLO se presupuesta depreciación</t>
  </si>
  <si>
    <t xml:space="preserve">NOTA: PC 4 y PC 5 son adicionales al equipo original (PC 1, PC 2). El VALOR DE COMPRA de los 4 equipos NUNCA se suma al presupuesto del proyecto — son propiedad personal de cada trabajador. Solo su DEPRECIACIÓN POR USO se incluye en la hoja GASTOS.</t>
  </si>
  <si>
    <t xml:space="preserve">  PC 3 — SERVIDOR LOCAL DE LA TIENDA  |  YA ES PROPIEDAD DE AUTOSERVICIO ALEYUAL — NO SE COMPRA</t>
  </si>
  <si>
    <t xml:space="preserve">El Autoservicio Aleyual YA TIENE este computador disponible para montar el servidor. Las especificaciones siguientes son del equipo EXISTENTE — no representan una compra nueva ni un costo para el proyecto.</t>
  </si>
  <si>
    <t xml:space="preserve">FUNCIÓN EN EL SERVIDOR</t>
  </si>
  <si>
    <t xml:space="preserve">VALOR REF.</t>
  </si>
  <si>
    <t xml:space="preserve">Intel Core i5-12400 · 6C/12T · 2.5–4.4 GHz · 18 MB caché · Sin GPU</t>
  </si>
  <si>
    <t xml:space="preserve">Sin GPU dedicada = menos calor y consumo. 6 núcleos manejan MySQL + PHP-FPM + Nginx simultáneos 24/7</t>
  </si>
  <si>
    <t xml:space="preserve">ASUS Prime B660M-A DDR4 · Micro-ATX · LGA1700 · 4 slots RAM</t>
  </si>
  <si>
    <t xml:space="preserve">Compatible i5-12400. 4 slots permiten escalar a 64 GB. Chipset B660 estable para servidor continuo</t>
  </si>
  <si>
    <t xml:space="preserve">32 GB DDR4 3200 MHz · Kingston Fury Beast · 2×16 GB</t>
  </si>
  <si>
    <t xml:space="preserve">32 GB para MySQL + PHP-FPM + Nginx + caché sin swap en horas pico de la tienda</t>
  </si>
  <si>
    <t xml:space="preserve">SSD NVMe 500 GB</t>
  </si>
  <si>
    <t xml:space="preserve">Kingston NV2 M.2 · Lectura 3.500 MB/s · OS + apps</t>
  </si>
  <si>
    <t xml:space="preserve">Sistema OS</t>
  </si>
  <si>
    <t xml:space="preserve">Sistema Ubuntu + Nginx + PHP-FPM. NVMe = arranque y acceso ultrarrápido a archivos del sistema</t>
  </si>
  <si>
    <t xml:space="preserve">HDD 2 TB</t>
  </si>
  <si>
    <t xml:space="preserve">Seagate Barracuda 3.5" · SATA · 7.200 RPM · Datos y backups</t>
  </si>
  <si>
    <t xml:space="preserve">Almacenamiento BD</t>
  </si>
  <si>
    <t xml:space="preserve">BD MySQL del autoservicio + backups diarios + imágenes de productos. 2 TB = ~10 años de datos</t>
  </si>
  <si>
    <t xml:space="preserve">Corsair CV650 · 650W · 80+ Bronze · OVP/OCP/SCP</t>
  </si>
  <si>
    <t xml:space="preserve">650W con protecciones eléctricas. 80+ Bronze = 85% eficiencia. Indispensable para servidor 24/7</t>
  </si>
  <si>
    <t xml:space="preserve">Fractal Design Core 1100 · Mini-Tower · Silencioso · Buen flujo</t>
  </si>
  <si>
    <t xml:space="preserve">Silencioso para el local del autoservicio. Espacio para SSD NVMe + HDD 2TB</t>
  </si>
  <si>
    <t xml:space="preserve">UPS 850VA</t>
  </si>
  <si>
    <t xml:space="preserve">APC Back-UPS 850VA/480W · USB · 8 min autonomía · 10 tomas</t>
  </si>
  <si>
    <t xml:space="preserve">Energía / Protección</t>
  </si>
  <si>
    <t xml:space="preserve">CRÍTICO: protege la BD de cortes eléctricos. 8 min = tiempo para apagado seguro. Evita corrupción de datos</t>
  </si>
  <si>
    <t xml:space="preserve">Cable Ethernet CAT-6</t>
  </si>
  <si>
    <t xml:space="preserve">5 m + adaptador USB Gigabit si no tiene puerto integrado</t>
  </si>
  <si>
    <t xml:space="preserve">Red</t>
  </si>
  <si>
    <t xml:space="preserve">El servidor SIEMPRE por cable, nunca WiFi. Garantiza estabilidad en transacciones de caja y ventas</t>
  </si>
  <si>
    <t xml:space="preserve">Monitor 24" (setup)</t>
  </si>
  <si>
    <t xml:space="preserve">LG 24MK430H · FHD IPS · 75Hz · Solo configuración inicial</t>
  </si>
  <si>
    <t xml:space="preserve">Periférico (setup)</t>
  </si>
  <si>
    <t xml:space="preserve">Solo para la instalación inicial de Ubuntu. Después el servidor corre headless vía SSH desde PCs del equipo</t>
  </si>
  <si>
    <t xml:space="preserve">Opcional</t>
  </si>
  <si>
    <t xml:space="preserve">Teclado + Mouse (setup)</t>
  </si>
  <si>
    <t xml:space="preserve">Logitech MK270 inalámbrico · Solo configuración inicial</t>
  </si>
  <si>
    <t xml:space="preserve">Solo para instalar Ubuntu inicialmente. Después acceso 100% remoto via SSH</t>
  </si>
  <si>
    <t xml:space="preserve">VALOR DE REFERENCIA PC 3 (equipo ya propio — costo real al proyecto: $0)</t>
  </si>
  <si>
    <t xml:space="preserve">Este valor NO se suma al presupuesto — Aleyual ya tiene el equipo</t>
  </si>
  <si>
    <t xml:space="preserve">  RESUMEN FINAL — LO QUE REALMENTE SE PRESUPUESTA</t>
  </si>
  <si>
    <t xml:space="preserve">VALOR DE COMPRA</t>
  </si>
  <si>
    <t xml:space="preserve">¿SE PRESUPUESTA COMPRA?</t>
  </si>
  <si>
    <t xml:space="preserve">DEPRECIACIÓN</t>
  </si>
  <si>
    <t xml:space="preserve">¿SE PRESUPUESTA DEP.?</t>
  </si>
  <si>
    <t xml:space="preserve">VER HOJA</t>
  </si>
  <si>
    <t xml:space="preserve">PC 1</t>
  </si>
  <si>
    <t xml:space="preserve">Trabajador A</t>
  </si>
  <si>
    <t xml:space="preserve">NO — propio</t>
  </si>
  <si>
    <t xml:space="preserve">$1.152.000 (18 meses)</t>
  </si>
  <si>
    <t xml:space="preserve">SÍ</t>
  </si>
  <si>
    <t xml:space="preserve">GASTOS</t>
  </si>
  <si>
    <t xml:space="preserve">PC 2</t>
  </si>
  <si>
    <t xml:space="preserve">Trabajador B</t>
  </si>
  <si>
    <t xml:space="preserve">PC 4</t>
  </si>
  <si>
    <t xml:space="preserve">Trabajador C</t>
  </si>
  <si>
    <t xml:space="preserve">PC 5</t>
  </si>
  <si>
    <t xml:space="preserve">Trabajador D</t>
  </si>
  <si>
    <t xml:space="preserve">PC 3</t>
  </si>
  <si>
    <t xml:space="preserve">Servidor tienda</t>
  </si>
  <si>
    <t xml:space="preserve">NO — ya existe</t>
  </si>
  <si>
    <t xml:space="preserve">$0 — sin depreciar</t>
  </si>
  <si>
    <t xml:space="preserve">NO</t>
  </si>
  <si>
    <t xml:space="preserve">  Control Store — Aleyual  |  Infraestructura Técnica  |  Qué se necesita para que el sistema funcione</t>
  </si>
  <si>
    <t xml:space="preserve">  Servidor LOCAL físico (PC3) en la tienda — explicación completa: dispositivo, servidor, base de datos, red e IP</t>
  </si>
  <si>
    <t xml:space="preserve">  A. DISPOSITIVO INICIAL — Lo que necesita el Autoservicio Aleyual para usar el sistema</t>
  </si>
  <si>
    <t xml:space="preserve">REQUISITO</t>
  </si>
  <si>
    <t xml:space="preserve">MÍNIMO NECESARIO</t>
  </si>
  <si>
    <t xml:space="preserve">¿QUÉ SIGNIFICA ESTO?</t>
  </si>
  <si>
    <t xml:space="preserve">IMPACTO PARA ALEYUAL</t>
  </si>
  <si>
    <t xml:space="preserve">Dispositivo en caja</t>
  </si>
  <si>
    <t xml:space="preserve">PC, laptop o tablet</t>
  </si>
  <si>
    <t xml:space="preserve">El sistema es una aplicación WEB — funciona en cualquier dispositivo con navegador, sin instalar nada.</t>
  </si>
  <si>
    <t xml:space="preserve">No requiere comprar hardware especializado de punto de venta.</t>
  </si>
  <si>
    <t xml:space="preserve">Navegador web</t>
  </si>
  <si>
    <t xml:space="preserve">Chrome, Edge o Firefox actualizado</t>
  </si>
  <si>
    <t xml:space="preserve">Probado en navegadores modernos. Versiones muy antiguas pueden no renderizar bien el CSS.</t>
  </si>
  <si>
    <t xml:space="preserve">Google Chrome es el más probado y recomendado.</t>
  </si>
  <si>
    <t xml:space="preserve">Conexión a la red local</t>
  </si>
  <si>
    <t xml:space="preserve">Cable Ethernet o WiFi</t>
  </si>
  <si>
    <t xml:space="preserve">El dispositivo de caja se conecta al servidor PC3 dentro de la misma red local de la tienda (192.168.1.x).</t>
  </si>
  <si>
    <t xml:space="preserve">No depende de internet externo para operar — solo de la red interna.</t>
  </si>
  <si>
    <t xml:space="preserve">Impresora de recibos (opcional)</t>
  </si>
  <si>
    <t xml:space="preserve">Impresora térmica 58/80mm</t>
  </si>
  <si>
    <t xml:space="preserve">No es obligatoria para el MVP, pero mejora la experiencia de venta física en caja.</t>
  </si>
  <si>
    <t xml:space="preserve">Impresora térmica USB ~$180.000 COP.</t>
  </si>
  <si>
    <t xml:space="preserve">Lector de código de barras (opcional)</t>
  </si>
  <si>
    <t xml:space="preserve">Lector USB tipo pistola</t>
  </si>
  <si>
    <t xml:space="preserve">Agiliza la búsqueda de productos en inventario y ventas.</t>
  </si>
  <si>
    <t xml:space="preserve">Lector USB básico ~$90.000 COP.</t>
  </si>
  <si>
    <t xml:space="preserve">  B. SERVIDOR LOCAL (PC3) — Dónde vive el sistema en la tienda</t>
  </si>
  <si>
    <t xml:space="preserve">Tipo de servidor</t>
  </si>
  <si>
    <t xml:space="preserve">Físico, local, en la tienda</t>
  </si>
  <si>
    <t xml:space="preserve">A diferencia de servicios en la nube, este servidor es un computador real dentro del Autoservicio Aleyual.</t>
  </si>
  <si>
    <t xml:space="preserve">El negocio depende de electricidad estable — por eso el UPS es crítico.</t>
  </si>
  <si>
    <t xml:space="preserve">Intel Core i5-12400 · 6 núcleos</t>
  </si>
  <si>
    <t xml:space="preserve">Sin GPU dedicada. 6 núcleos manejan MySQL + PHP-FPM + Nginx simultáneamente sin cuellos de botella.</t>
  </si>
  <si>
    <t xml:space="preserve">Suficiente para todo el tráfico diario de una tienda de barrio/autoservicio.</t>
  </si>
  <si>
    <t xml:space="preserve">RAM del servidor</t>
  </si>
  <si>
    <t xml:space="preserve">32 GB DDR4</t>
  </si>
  <si>
    <t xml:space="preserve">Memoria de trabajo. Permite correr base de datos + backend + cache sin quedarse sin memoria (swap).</t>
  </si>
  <si>
    <t xml:space="preserve">Sin lentitud en horas pico (mediodía, fin de mes).</t>
  </si>
  <si>
    <t xml:space="preserve">SSD 500GB (sistema) + HDD 2TB (datos)</t>
  </si>
  <si>
    <t xml:space="preserve">SSD para el sistema operativo (arranque rápido). HDD grande para base de datos y backups históricos.</t>
  </si>
  <si>
    <t xml:space="preserve">2TB equivale a varios años de historial de ventas e imágenes de productos.</t>
  </si>
  <si>
    <t xml:space="preserve">Disponibilidad (uptime)</t>
  </si>
  <si>
    <t xml:space="preserve">24/7 mientras haya electricidad</t>
  </si>
  <si>
    <t xml:space="preserve">El servidor está siempre encendido en la tienda — no se 'duerme' como un plan cloud gratuito.</t>
  </si>
  <si>
    <t xml:space="preserve">Respuesta inmediata en cada venta, sin esperas de reactivación.</t>
  </si>
  <si>
    <t xml:space="preserve">Protección eléctrica</t>
  </si>
  <si>
    <t xml:space="preserve">UPS 850VA — 8 min de autonomía</t>
  </si>
  <si>
    <t xml:space="preserve">Si se va la luz, el UPS da tiempo para apagar el servidor de forma segura, evitando corrupción de la base de datos.</t>
  </si>
  <si>
    <t xml:space="preserve">CRÍTICO en Colombia por la frecuencia de cortes eléctricos.</t>
  </si>
  <si>
    <t xml:space="preserve">  C. BASE DE DATOS — Dónde se guarda la información del negocio</t>
  </si>
  <si>
    <t xml:space="preserve">Motor de base de datos</t>
  </si>
  <si>
    <t xml:space="preserve">MySQL 8.0 (local, en PC3)</t>
  </si>
  <si>
    <t xml:space="preserve">Sistema de gestión de base de datos relacional, instalado directamente en el servidor de la tienda.</t>
  </si>
  <si>
    <t xml:space="preserve">Los datos NUNCA salen de la tienda — control total y privacidad.</t>
  </si>
  <si>
    <t xml:space="preserve">Ubicación de los datos</t>
  </si>
  <si>
    <t xml:space="preserve">100% local, en el HDD de 2TB</t>
  </si>
  <si>
    <t xml:space="preserve">A diferencia de servicios cloud, toda la información vive físicamente en el Autoservicio Aleyual.</t>
  </si>
  <si>
    <t xml:space="preserve">No depende de un proveedor externo para acceder a los datos.</t>
  </si>
  <si>
    <t xml:space="preserve">Capacidad estimada</t>
  </si>
  <si>
    <t xml:space="preserve">Varios años de operación</t>
  </si>
  <si>
    <t xml:space="preserve">Con 2TB de almacenamiento, la BD puede crecer sin límites prácticos durante toda la vida del negocio.</t>
  </si>
  <si>
    <t xml:space="preserve">No hay que migrar ni pagar por más espacio como en planes cloud.</t>
  </si>
  <si>
    <t xml:space="preserve">Backup</t>
  </si>
  <si>
    <t xml:space="preserve">Diario, automático (cron 2:00 AM)</t>
  </si>
  <si>
    <t xml:space="preserve">Copia de seguridad programada cada noche, guardada en el mismo HDD y replicada en backup externo.</t>
  </si>
  <si>
    <t xml:space="preserve">Si algo falla, se puede restaurar la información del día anterior.</t>
  </si>
  <si>
    <t xml:space="preserve">Seguridad de acceso</t>
  </si>
  <si>
    <t xml:space="preserve">Solo accesible desde localhost</t>
  </si>
  <si>
    <t xml:space="preserve">La base de datos NUNCA se expone directamente a internet — solo el backend en el mismo servidor puede consultarla.</t>
  </si>
  <si>
    <t xml:space="preserve">Protección máxima contra accesos externos no autorizados.</t>
  </si>
  <si>
    <t xml:space="preserve">  D. RED E IP — Cómo se conecta todo dentro de la tienda</t>
  </si>
  <si>
    <t xml:space="preserve">CONCEPTO</t>
  </si>
  <si>
    <t xml:space="preserve">IP del servidor</t>
  </si>
  <si>
    <t xml:space="preserve">192.168.1.100 (fija/estática)</t>
  </si>
  <si>
    <t xml:space="preserve">Dirección fija dentro de la red local de la tienda — nunca cambia, así el router se reinicie.</t>
  </si>
  <si>
    <t xml:space="preserve">El equipo siempre sabe dónde encontrar el servidor en la red.</t>
  </si>
  <si>
    <t xml:space="preserve">IP del router/gateway</t>
  </si>
  <si>
    <t xml:space="preserve">192.168.1.1</t>
  </si>
  <si>
    <t xml:space="preserve">Puerta de enlace de la red local — conecta la red interna de la tienda con internet.</t>
  </si>
  <si>
    <t xml:space="preserve">Configuración estándar de cualquier router doméstico/comercial.</t>
  </si>
  <si>
    <t xml:space="preserve">Puerto HTTP/HTTPS</t>
  </si>
  <si>
    <t xml:space="preserve">80 / 443</t>
  </si>
  <si>
    <t xml:space="preserve">Puertos por donde el navegador de caja se comunica con el servidor (Nginx).</t>
  </si>
  <si>
    <t xml:space="preserve">Acceso simple desde cualquier dispositivo en la red local.</t>
  </si>
  <si>
    <t xml:space="preserve">Puerto API / Base de datos</t>
  </si>
  <si>
    <t xml:space="preserve">80/443 (Nginx + PHP) / 3306 (MySQL)</t>
  </si>
  <si>
    <t xml:space="preserve">Puertos internos, NUNCA expuestos fuera del servidor — solo accesibles desde localhost.</t>
  </si>
  <si>
    <t xml:space="preserve">Máxima seguridad: nadie externo puede tocar la API o la BD directamente.</t>
  </si>
  <si>
    <t xml:space="preserve">WiFi del servidor</t>
  </si>
  <si>
    <t xml:space="preserve">Deshabilitado — solo cable Ethernet</t>
  </si>
  <si>
    <t xml:space="preserve">El servidor SIEMPRE conectado por cable, nunca WiFi, para máxima estabilidad.</t>
  </si>
  <si>
    <t xml:space="preserve">Evita caídas de conexión por interferencia o señal débil.</t>
  </si>
  <si>
    <t xml:space="preserve">Firewall</t>
  </si>
  <si>
    <t xml:space="preserve">UFW — solo puertos 22, 80, 443 abiertos</t>
  </si>
  <si>
    <t xml:space="preserve">Bloquea automáticamente cualquier intento de conexión a puertos no autorizados.</t>
  </si>
  <si>
    <t xml:space="preserve">Protección activa 24/7 sin intervención manual.</t>
  </si>
  <si>
    <t xml:space="preserve">Acceso remoto al sistema</t>
  </si>
  <si>
    <t xml:space="preserve">No disponible fuera de la tienda</t>
  </si>
  <si>
    <t xml:space="preserve">Al ser un servidor local, NO se puede revisar el sistema desde fuera sin configuración adicional (VPN).</t>
  </si>
  <si>
    <t xml:space="preserve">Mayor seguridad, pero el dueño debe estar en la tienda o usar VPN para acceso remoto.</t>
  </si>
  <si>
    <t xml:space="preserve">• Este servidor es FÍSICO y LOCAL — vive dentro del Autoservicio Aleyual, a diferencia de soluciones 100% en la nube.</t>
  </si>
  <si>
    <t xml:space="preserve">• Ventaja: control total de los datos y sin dependencia de internet para operar internamente.</t>
  </si>
  <si>
    <t xml:space="preserve">• Desventaja: requiere mantenimiento físico (UPS, ventilación, backups) y no es accesible remotamente sin VPN.</t>
  </si>
  <si>
    <t xml:space="preserve">• Si el negocio crece a múltiples sucursales, se recomienda migrar a una arquitectura híbrida (local + cloud) en una fase futura.</t>
  </si>
  <si>
    <t xml:space="preserve">  Aleyual — Control Store  |  Gastos Administrativos  |  Arriendo, Servicios y Depreciación</t>
  </si>
  <si>
    <t xml:space="preserve">  A. ARRIENDO Y SERVICIOS  (gastos fijos que cada desarrollador asume trabajando desde casa — 18 meses × 4 desarrolladores)</t>
  </si>
  <si>
    <t xml:space="preserve">SERVICIO</t>
  </si>
  <si>
    <t xml:space="preserve">Costo mensual (COP) c/u</t>
  </si>
  <si>
    <t xml:space="preserve">Meses × Desarroll.</t>
  </si>
  <si>
    <t xml:space="preserve">COSTO TOTAL</t>
  </si>
  <si>
    <t xml:space="preserve">Luz (energía eléctrica — 30% del recibo)</t>
  </si>
  <si>
    <t xml:space="preserve">18 × 4</t>
  </si>
  <si>
    <t xml:space="preserve">Agua (10% del consumo mensual)</t>
  </si>
  <si>
    <t xml:space="preserve">Internet — fibra óptica (100% del plan)</t>
  </si>
  <si>
    <t xml:space="preserve">Papelería e insumos de oficina</t>
  </si>
  <si>
    <t xml:space="preserve">Arriendo espacio de trabajo (si aplica — trabajo desde casa = $0)</t>
  </si>
  <si>
    <t xml:space="preserve">Total Arriendo y Servicios</t>
  </si>
  <si>
    <t xml:space="preserve">NOTA: cada uno de los 4 desarrolladores (A, B, C, D) trabaja desde su propia casa y asume su propio consumo de luz, agua, internet y papelería. Por eso el costo mensual se multiplica por 18 meses trabajados × 4 desarrolladores.</t>
  </si>
  <si>
    <t xml:space="preserve">  B. DEPRECIACIÓN — 4 EQUIPOS DE TRABAJADORES (PC3 servidor YA EXISTE, no se deprecia) — 18 meses trabajados, método uniforme</t>
  </si>
  <si>
    <t xml:space="preserve">COMP</t>
  </si>
  <si>
    <t xml:space="preserve">Detalle</t>
  </si>
  <si>
    <t xml:space="preserve">COSTO REF.</t>
  </si>
  <si>
    <t xml:space="preserve">VIDA ÚTIL / MÉTODO</t>
  </si>
  <si>
    <t xml:space="preserve">Dep. Total Proyecto</t>
  </si>
  <si>
    <t xml:space="preserve">PC 1 — Trabajador / Desarrollador A</t>
  </si>
  <si>
    <t xml:space="preserve">60 meses (5 años) · 18 meses trabajados</t>
  </si>
  <si>
    <t xml:space="preserve">PC 2 — Trabajador / Desarrollador B</t>
  </si>
  <si>
    <t xml:space="preserve">PC 4 — Trabajador / Desarrollador C (NUEVO)</t>
  </si>
  <si>
    <t xml:space="preserve">PC 5 — Trabajador / Desarrollador D (NUEVO)</t>
  </si>
  <si>
    <t xml:space="preserve">Fórmula (los 4 equipos, método uniforme): Costo de referencia ÷ 60 meses × 18 meses trabajados.</t>
  </si>
  <si>
    <t xml:space="preserve">Total Depreciación (4 equipos de trabajadores)</t>
  </si>
  <si>
    <t xml:space="preserve">NOTA: PC 3 (servidor de la tienda) YA ES PROPIEDAD de Autoservicio Aleyual — no se compra ni se deprecia en este proyecto. Solo se deprecian los 4 equipos de los trabajadores.</t>
  </si>
  <si>
    <t xml:space="preserve">TOTAL GASTOS ADMINISTRATIVOS (Servicios + Depreciación)</t>
  </si>
  <si>
    <t xml:space="preserve">Fuentes de costos de servicios (Colombia, Bogotá/Soacha 2026):</t>
  </si>
  <si>
    <t xml:space="preserve">• Luz: promedio factura residencial Bogotá $400K–$600K/mes. Proporción 30% para oficina = $120K–$180K/mes. Ref: codensa.com.co</t>
  </si>
  <si>
    <t xml:space="preserve">• Internet fibra óptica: Claro Colombia $99.900–$149.900/mes (plan 100–200 Mbps). Ref: claro.com.co/personas/servicios/internet/</t>
  </si>
  <si>
    <t xml:space="preserve">• Dominio .co: nic.co — $89.000/año registro y renovación. Dominio .com: GoDaddy ~$50.000/año</t>
  </si>
  <si>
    <t xml:space="preserve">• Depreciación: método de línea recta. Vida útil laptops: 5 años (60 meses). Los 4 equipos se deprecian de forma uniforme por 18 meses trabajados.</t>
  </si>
  <si>
    <t xml:space="preserve">  Aleyual — Control Store  |  Recursos Tecnológicos  |  Hardware · Software · Cloud</t>
  </si>
  <si>
    <t xml:space="preserve">  A. HARDWARE — DISPOSITIVOS</t>
  </si>
  <si>
    <t xml:space="preserve">Ítem</t>
  </si>
  <si>
    <t xml:space="preserve">Opción / Especificación</t>
  </si>
  <si>
    <t xml:space="preserve">¿Aplica?</t>
  </si>
  <si>
    <t xml:space="preserve">COSTO</t>
  </si>
  <si>
    <t xml:space="preserve">DISPOSITIVO FINAL</t>
  </si>
  <si>
    <t xml:space="preserve">Cliente — PC del usuario (2 existentes)</t>
  </si>
  <si>
    <t xml:space="preserve">Equipo propio del cliente</t>
  </si>
  <si>
    <t xml:space="preserve">✓ Ya existe</t>
  </si>
  <si>
    <t xml:space="preserve">Servidor — PC3 de la tienda</t>
  </si>
  <si>
    <t xml:space="preserve">YA EXISTE — propiedad de Autoservicio Aleyual (ver hoja SERVIDOR Y EQUIPOS)</t>
  </si>
  <si>
    <t xml:space="preserve">✓ Ya existe — $0</t>
  </si>
  <si>
    <t xml:space="preserve">Servidor Físico</t>
  </si>
  <si>
    <t xml:space="preserve">Reutilizar 1 PC como servidor local</t>
  </si>
  <si>
    <t xml:space="preserve">Procesador del servidor</t>
  </si>
  <si>
    <t xml:space="preserve">Intel Core i5/i7 (equipo existente)</t>
  </si>
  <si>
    <t xml:space="preserve">Equipo cliente</t>
  </si>
  <si>
    <t xml:space="preserve">8–16 GB (equipo existente)</t>
  </si>
  <si>
    <t xml:space="preserve">Disco Duro / SSD</t>
  </si>
  <si>
    <t xml:space="preserve">500 GB–1 TB (equipo existente)</t>
  </si>
  <si>
    <t xml:space="preserve">Total Hardware</t>
  </si>
  <si>
    <t xml:space="preserve">  B. SOFTWARE — LICENCIAS Y HERRAMIENTAS</t>
  </si>
  <si>
    <t xml:space="preserve">Software</t>
  </si>
  <si>
    <t xml:space="preserve">Versión / Proveedor</t>
  </si>
  <si>
    <t xml:space="preserve">Costo / mes</t>
  </si>
  <si>
    <t xml:space="preserve">Software de Sistema</t>
  </si>
  <si>
    <t xml:space="preserve">Ubuntu Server 24.04 LTS</t>
  </si>
  <si>
    <t xml:space="preserve">Gratuito — Open Source</t>
  </si>
  <si>
    <t xml:space="preserve">Software de Protección</t>
  </si>
  <si>
    <t xml:space="preserve">ClamAV + UFW Firewall</t>
  </si>
  <si>
    <t xml:space="preserve">Software de Aplicación</t>
  </si>
  <si>
    <t xml:space="preserve">Sistema Aleyual (desarrollo propio)</t>
  </si>
  <si>
    <t xml:space="preserve">Producto del proyecto</t>
  </si>
  <si>
    <t xml:space="preserve">Software de Desarrollo</t>
  </si>
  <si>
    <t xml:space="preserve">VS Code, Git, Postman, DBeaver</t>
  </si>
  <si>
    <t xml:space="preserve">Lenguajes</t>
  </si>
  <si>
    <t xml:space="preserve">PHP 8.2, JavaScript (ES6+)</t>
  </si>
  <si>
    <t xml:space="preserve">Frameworks</t>
  </si>
  <si>
    <t xml:space="preserve">Laravel 11, Bootstrap 5, React Native</t>
  </si>
  <si>
    <t xml:space="preserve">Librerías</t>
  </si>
  <si>
    <t xml:space="preserve">npm packages, pip packages</t>
  </si>
  <si>
    <t xml:space="preserve">Licencias (Soft de Terceros)</t>
  </si>
  <si>
    <t xml:space="preserve">No requeridas — stack open source</t>
  </si>
  <si>
    <t xml:space="preserve">N/A</t>
  </si>
  <si>
    <t xml:space="preserve">HOSTING (Alojamiento)</t>
  </si>
  <si>
    <t xml:space="preserve">AWS — ver sección C</t>
  </si>
  <si>
    <t xml:space="preserve">Ver sección C</t>
  </si>
  <si>
    <t xml:space="preserve">Dominio (DNS)</t>
  </si>
  <si>
    <t xml:space="preserve">dominio.com.co anual (~$1.000.000/año)</t>
  </si>
  <si>
    <t xml:space="preserve">$83.333 × 20 meses</t>
  </si>
  <si>
    <t xml:space="preserve">Total Software</t>
  </si>
  <si>
    <t xml:space="preserve">  C. SERVICIOS CLOUD — AWS (Recomendado) / Azure / Google Cloud</t>
  </si>
  <si>
    <t xml:space="preserve">Servicio</t>
  </si>
  <si>
    <t xml:space="preserve">Plan / Instancia</t>
  </si>
  <si>
    <t xml:space="preserve">Costo/mes (COP)</t>
  </si>
  <si>
    <t xml:space="preserve">C.1</t>
  </si>
  <si>
    <t xml:space="preserve">AWS (Amazon Web Services)</t>
  </si>
  <si>
    <t xml:space="preserve">Proveedor recomendado — región us-east-1</t>
  </si>
  <si>
    <t xml:space="preserve">Sí</t>
  </si>
  <si>
    <t xml:space="preserve">C.1.1</t>
  </si>
  <si>
    <t xml:space="preserve">EC2 t3.small — Servidor Web</t>
  </si>
  <si>
    <t xml:space="preserve">1 vCPU, 2 GB RAM — USD$15/mes × $4.200 COP × 6 meses</t>
  </si>
  <si>
    <t xml:space="preserve">C.1.2</t>
  </si>
  <si>
    <t xml:space="preserve">RDS MySQL t3.micro — Base de Datos</t>
  </si>
  <si>
    <t xml:space="preserve">1 vCPU, 1 GB RAM — USD$10/mes × $4.200 COP × 4 meses</t>
  </si>
  <si>
    <t xml:space="preserve">C.1.3</t>
  </si>
  <si>
    <t xml:space="preserve">S3 Standard — Almacenamiento</t>
  </si>
  <si>
    <t xml:space="preserve">~5 GB archivos e imágenes — USD$2/mes × $4.200 COP × 6 meses</t>
  </si>
  <si>
    <t xml:space="preserve">C.1.4</t>
  </si>
  <si>
    <t xml:space="preserve">Dirección IP pública (Elastic IP)</t>
  </si>
  <si>
    <t xml:space="preserve">Incluida sin costo con instancia activa</t>
  </si>
  <si>
    <t xml:space="preserve">C.2</t>
  </si>
  <si>
    <t xml:space="preserve">Azure (alternativa a AWS)</t>
  </si>
  <si>
    <t xml:space="preserve">Azure App Service + Azure SQL</t>
  </si>
  <si>
    <t xml:space="preserve">No acumular con AWS</t>
  </si>
  <si>
    <t xml:space="preserve">C.3</t>
  </si>
  <si>
    <t xml:space="preserve">Google Cloud (alternativa)</t>
  </si>
  <si>
    <t xml:space="preserve">GCP App Engine + Cloud SQL</t>
  </si>
  <si>
    <t xml:space="preserve">Dirección IP / Puertos</t>
  </si>
  <si>
    <t xml:space="preserve">Configurados en Security Groups de AWS</t>
  </si>
  <si>
    <t xml:space="preserve">Ver Software sección B, ítem 9</t>
  </si>
  <si>
    <t xml:space="preserve">Total Hosting y Cloud (AWS)</t>
  </si>
  <si>
    <t xml:space="preserve">TOTAL RECURSOS TECNOLÓGICOS (Software + Hosting)</t>
  </si>
  <si>
    <t xml:space="preserve">Fuentes de precios cloud (jun 2026):</t>
  </si>
  <si>
    <t xml:space="preserve">• AWS Precios EC2 bajo demanda: https://aws.amazon.com/es/ec2/pricing/on-demand/ — EC2 t3.small Linux us-east-1: $0.0208 USD/hora ≈ $15 USD/mes</t>
  </si>
  <si>
    <t xml:space="preserve">• AWS Calculator: https://calculator.aws/pricing/2/metahtml (calculadora oficial de costos AWS)</t>
  </si>
  <si>
    <t xml:space="preserve">• AWS RDS MySQL t3.micro: ~$0.017 USD/hora ≈ $12 USD/mes (Free Tier primeros 12 meses)</t>
  </si>
  <si>
    <t xml:space="preserve">• AWS S3 Standard: $0.023 USD/GB/mes. 5 GB ≈ $0.12 USD/mes + transfer ≈ $2 USD/mes total</t>
  </si>
  <si>
    <t xml:space="preserve">• Azure Calculator: https://azure.microsoft.com/es-es/pricing/calculator/</t>
  </si>
  <si>
    <t xml:space="preserve">• Google Cloud Calculator: https://cloud.google.com/products/calculator</t>
  </si>
  <si>
    <t xml:space="preserve">• Dominio .com.co: https://nic.co/ — $89.000 COP/año (primer año) / $89.000 renovación anual</t>
  </si>
  <si>
    <t xml:space="preserve">• Tasa USD/COP referencia: BanRep jun 2026 ≈ $4.200 COP/USD — https://www.banrep.gov.co/</t>
  </si>
  <si>
    <t xml:space="preserve">  Aleyual — Control Store  |  Contrato Recomendado  |  Prestación de Servicios</t>
  </si>
  <si>
    <t xml:space="preserve">  ✅  RECOMENDADO: Prestación de Servicios (Art. 34 C.S.T.)</t>
  </si>
  <si>
    <t xml:space="preserve">Base legal</t>
  </si>
  <si>
    <t xml:space="preserve">Art. 34 Código Sustantivo del Trabajo. Ley 80/1993 (sector servicios). Estándar del sector TI en Colombia (MinTIC, SENA).</t>
  </si>
  <si>
    <t xml:space="preserve">¿Por qué es el más adecuado?</t>
  </si>
  <si>
    <t xml:space="preserve">Proyectos de software con entregables por trimestre no generan subordinación permanente. El sector TI colombiano usa esta modalidad en más del 80% de sus proyectos.</t>
  </si>
  <si>
    <t xml:space="preserve">Ahorro prestacional</t>
  </si>
  <si>
    <t xml:space="preserve">Sin cesantías, prima, vacaciones pagadas por el contratante, dotación ni EPS/AFP a cargo del empleador. Ahorro real del 42–52% frente a un contrato laboral.</t>
  </si>
  <si>
    <t xml:space="preserve">Pago por días efectivos</t>
  </si>
  <si>
    <t xml:space="preserve">Los ~86 días de descanso (Semana Santa, vacaciones, Navidad) NO se facturan. Solo se paga por tiempo efectivamente trabajado.</t>
  </si>
  <si>
    <t xml:space="preserve">Flexibilidad por fase</t>
  </si>
  <si>
    <t xml:space="preserve">Vincular/desvincular profesionales por trimestre sin procesos de liquidación. Ideal para Gestor BD (solo T3–T4) y Arquitecto (fases puntuales).</t>
  </si>
  <si>
    <t xml:space="preserve">Pago por entregables</t>
  </si>
  <si>
    <t xml:space="preserve">El contrato especifica entregables medibles por trimestre: mockups aprobados, scripts DDL/DML, API documentada, pruebas ISO 25010. No por asistencia.</t>
  </si>
  <si>
    <t xml:space="preserve">Obligación del contratista</t>
  </si>
  <si>
    <t xml:space="preserve">El profesional asume salud (12.5%) y pensión (16%) propias. Negociar honorario 25–30% superior al salario de mercado equivalente para compensar.</t>
  </si>
  <si>
    <t xml:space="preserve">Cláusula NDA (confidencialidad)</t>
  </si>
  <si>
    <t xml:space="preserve">Incluir Non-Disclosure Agreement sobre código fuente, arquitectura, base de datos y datos del cliente Autoservicio Aleyual.</t>
  </si>
  <si>
    <t xml:space="preserve">Duración recomendada</t>
  </si>
  <si>
    <t xml:space="preserve">Contratos por trimestre (3–4 meses) renovables. Permite no renovar si el entregable no se cumple en tiempo y forma.</t>
  </si>
  <si>
    <t xml:space="preserve">Riesgo contrato realidad</t>
  </si>
  <si>
    <t xml:space="preserve">No imponer horario fijo ni supervisión directa constante. Si hay subordinación + horario + herramientas del contratante → puede reclamar relación laboral.</t>
  </si>
  <si>
    <t xml:space="preserve">  ❌  Otras modalidades — por qué NO aplican</t>
  </si>
  <si>
    <t xml:space="preserve">Contrato a término fijo</t>
  </si>
  <si>
    <t xml:space="preserve">Incluye TODAS las prestaciones sociales (+52% costo real). Solo para empleados permanentes de la empresa ejecutora. No aplica para equipo TI externo.</t>
  </si>
  <si>
    <t xml:space="preserve">Contrato de obra o labor</t>
  </si>
  <si>
    <t xml:space="preserve">También exige prestaciones. Aplica cuando el trabajador pertenece a la empresa ejecutora del proyecto.</t>
  </si>
  <si>
    <t xml:space="preserve">Contrato indefinido</t>
  </si>
  <si>
    <t xml:space="preserve">Máximo costo, mínima flexibilidad. Imposible terminar sin indemnización. Totalmente inadecuado para proyecto con fecha de entrega definida.</t>
  </si>
  <si>
    <t xml:space="preserve">Fuentes legales y de referencia:</t>
  </si>
  <si>
    <t xml:space="preserve">• Código Sustantivo del Trabajo (C.S.T.) — Art. 34: trabajadores independientes: https://leyes.co/codigo_sustantivo_del_trabajo/34.htm</t>
  </si>
  <si>
    <t xml:space="preserve">• DIAN — Contratos de prestación de servicios y retención en la fuente: https://www.dian.gov.co/</t>
  </si>
  <si>
    <t xml:space="preserve">• MinTIC — Contratación TI en Colombia: https://www.mintic.gov.co/portal/inicio/</t>
  </si>
  <si>
    <t xml:space="preserve">• SENA Oferta Educativa y Contratos: https://www.sena.edu.co/</t>
  </si>
  <si>
    <t xml:space="preserve">  Control Store — Aleyual  |  Fuentes Verificadas  |  Salarios, Cloud, Legal y Hardware</t>
  </si>
  <si>
    <t xml:space="preserve">  Toda la información fue verificada directamente en las páginas oficiales de cada fuente — junio 2026</t>
  </si>
  <si>
    <t xml:space="preserve">  A. SALARIOS — Mercado de desarrolladores en Colombia</t>
  </si>
  <si>
    <t xml:space="preserve">FUENTE</t>
  </si>
  <si>
    <t xml:space="preserve">RANGO REPORTADO</t>
  </si>
  <si>
    <t xml:space="preserve">LINK OFICIAL</t>
  </si>
  <si>
    <t xml:space="preserve">Glassdoor Colombia</t>
  </si>
  <si>
    <t xml:space="preserve">$3.0M–$6.8M/mes</t>
  </si>
  <si>
    <t xml:space="preserve">https://www.glassdoor.com.mx/Sueldos/colombia-desarrollador-de-software-sueldo-SRCH_IL.0,8_IN47_KO9,34.htm</t>
  </si>
  <si>
    <t xml:space="preserve">Dev Software según experiencia (2025-2026)</t>
  </si>
  <si>
    <t xml:space="preserve">Indeed Colombia</t>
  </si>
  <si>
    <t xml:space="preserve">~$3.1M/mes promedio</t>
  </si>
  <si>
    <t xml:space="preserve">https://co.indeed.com/career/desarrollador-de-software/salaries</t>
  </si>
  <si>
    <t xml:space="preserve">Actualizado mayo 2026</t>
  </si>
  <si>
    <t xml:space="preserve">tusalario.org</t>
  </si>
  <si>
    <t xml:space="preserve">$3.2M–$17.4M/mes</t>
  </si>
  <si>
    <t xml:space="preserve">https://tusalario.org/colombia/carrera/funcion-y-salario/desarrolladores-de-software</t>
  </si>
  <si>
    <t xml:space="preserve">Rango amplio según nivel</t>
  </si>
  <si>
    <t xml:space="preserve">Coderhouse Colombia</t>
  </si>
  <si>
    <t xml:space="preserve">$5M–$9M+/mes</t>
  </si>
  <si>
    <t xml:space="preserve">https://www.coderhouse.com/us/sueldos/sueldo-desarrollador-full-stack-colombia-2025</t>
  </si>
  <si>
    <t xml:space="preserve">Full Stack Mid/Senior</t>
  </si>
  <si>
    <t xml:space="preserve">Talently</t>
  </si>
  <si>
    <t xml:space="preserve">$4.8M–$25M/mes</t>
  </si>
  <si>
    <t xml:space="preserve">https://talently.tech/herramientas/colombia/salario</t>
  </si>
  <si>
    <t xml:space="preserve">Junior a Senior, datos 2024-2026</t>
  </si>
  <si>
    <t xml:space="preserve">  B. SERVICIOS CLOUD — AWS y alternativas (despliegue T7)</t>
  </si>
  <si>
    <t xml:space="preserve">PROVEEDOR / SERVICIO</t>
  </si>
  <si>
    <t xml:space="preserve">USO</t>
  </si>
  <si>
    <t xml:space="preserve">AWS EC2 — Pricing on-demand</t>
  </si>
  <si>
    <t xml:space="preserve">Servidor virtual T7</t>
  </si>
  <si>
    <t xml:space="preserve">https://aws.amazon.com/es/ec2/pricing/on-demand/</t>
  </si>
  <si>
    <t xml:space="preserve">EC2 t3.small: $0.0208 USD/hora</t>
  </si>
  <si>
    <t xml:space="preserve">AWS Calculator</t>
  </si>
  <si>
    <t xml:space="preserve">Estimación de costos</t>
  </si>
  <si>
    <t xml:space="preserve">https://calculator.aws/pricing/2/metahtml</t>
  </si>
  <si>
    <t xml:space="preserve">Calculadora oficial AWS</t>
  </si>
  <si>
    <t xml:space="preserve">AWS RDS MySQL</t>
  </si>
  <si>
    <t xml:space="preserve">Base de datos en la nube</t>
  </si>
  <si>
    <t xml:space="preserve">https://aws.amazon.com/es/rds/mysql/pricing/</t>
  </si>
  <si>
    <t xml:space="preserve">Free Tier 750h/mes primeros 12 meses</t>
  </si>
  <si>
    <t xml:space="preserve">AWS S3</t>
  </si>
  <si>
    <t xml:space="preserve">Almacenamiento de imágenes</t>
  </si>
  <si>
    <t xml:space="preserve">https://aws.amazon.com/es/s3/pricing/</t>
  </si>
  <si>
    <t xml:space="preserve">$0.023 USD/GB/mes</t>
  </si>
  <si>
    <t xml:space="preserve">Azure Calculator (alternativa)</t>
  </si>
  <si>
    <t xml:space="preserve">Comparación de costos</t>
  </si>
  <si>
    <t xml:space="preserve">https://azure.microsoft.com/es-es/pricing/calculator/</t>
  </si>
  <si>
    <t xml:space="preserve">Alternativa a AWS</t>
  </si>
  <si>
    <t xml:space="preserve">Google Cloud Calculator (alternativa)</t>
  </si>
  <si>
    <t xml:space="preserve">https://cloud.google.com/products/calculator</t>
  </si>
  <si>
    <t xml:space="preserve">nic.co — Dominio .com.co</t>
  </si>
  <si>
    <t xml:space="preserve">Dominio del sistema</t>
  </si>
  <si>
    <t xml:space="preserve">https://nic.co/</t>
  </si>
  <si>
    <t xml:space="preserve">$89.000 COP/año</t>
  </si>
  <si>
    <t xml:space="preserve">Banco de la República — TRM</t>
  </si>
  <si>
    <t xml:space="preserve">Tasa de cambio USD/COP</t>
  </si>
  <si>
    <t xml:space="preserve">https://www.banrep.gov.co/es/estadisticas/trm</t>
  </si>
  <si>
    <t xml:space="preserve">Referencia jun 2026: ~$4.200 COP/USD</t>
  </si>
  <si>
    <t xml:space="preserve">  C. SERVICIOS Y COSTOS — Referencias Colombia</t>
  </si>
  <si>
    <t xml:space="preserve">Codensa — Energía eléctrica</t>
  </si>
  <si>
    <t xml:space="preserve">$400K–$600K/mes</t>
  </si>
  <si>
    <t xml:space="preserve">https://www.codensa.com.co</t>
  </si>
  <si>
    <t xml:space="preserve">Factura residencial Bogotá promedio</t>
  </si>
  <si>
    <t xml:space="preserve">Claro — Internet fibra óptica</t>
  </si>
  <si>
    <t xml:space="preserve">$99.900–$149.900/mes</t>
  </si>
  <si>
    <t xml:space="preserve">https://www.claro.com.co/personas/servicios/internet/</t>
  </si>
  <si>
    <t xml:space="preserve">Plan 100-200 Mbps</t>
  </si>
  <si>
    <t xml:space="preserve">Alkosto — Laptops y equipos</t>
  </si>
  <si>
    <t xml:space="preserve">Variable</t>
  </si>
  <si>
    <t xml:space="preserve">https://www.alkosto.com/computadores-y-tablets/computadores-portatiles</t>
  </si>
  <si>
    <t xml:space="preserve">Referencia componentes PC1/PC2/PC3</t>
  </si>
  <si>
    <t xml:space="preserve">Éxito — Tecnología</t>
  </si>
  <si>
    <t xml:space="preserve">https://www.exito.com/tecnologia/computadores/portatiles</t>
  </si>
  <si>
    <t xml:space="preserve">Referencia componentes</t>
  </si>
  <si>
    <t xml:space="preserve">  D. MARCO LEGAL Y NORMATIVO</t>
  </si>
  <si>
    <t xml:space="preserve">VALOR/FUENTE</t>
  </si>
  <si>
    <t xml:space="preserve">Contrato — Prestación de Servicios</t>
  </si>
  <si>
    <t xml:space="preserve">Art. 34 C.S.T.</t>
  </si>
  <si>
    <t xml:space="preserve">https://leyes.co/codigo_sustantivo_del_trabajo/34.htm</t>
  </si>
  <si>
    <t xml:space="preserve">Base legal del contrato del equipo</t>
  </si>
  <si>
    <t xml:space="preserve">DIAN — Retención en la fuente</t>
  </si>
  <si>
    <t xml:space="preserve">Contratos de servicios</t>
  </si>
  <si>
    <t xml:space="preserve">https://www.dian.gov.co/</t>
  </si>
  <si>
    <t xml:space="preserve">Régimen tributario aplicable</t>
  </si>
  <si>
    <t xml:space="preserve">MinTIC — Contratación TI</t>
  </si>
  <si>
    <t xml:space="preserve">Normativa sector TI</t>
  </si>
  <si>
    <t xml:space="preserve">https://www.mintic.gov.co/portal/inicio/</t>
  </si>
  <si>
    <t xml:space="preserve">Contratación TI en Colombia</t>
  </si>
  <si>
    <t xml:space="preserve">SENA — Oferta educativa</t>
  </si>
  <si>
    <t xml:space="preserve">Programa ADSO</t>
  </si>
  <si>
    <t xml:space="preserve">https://www.sena.edu.co/</t>
  </si>
  <si>
    <t xml:space="preserve">Marco del proyecto formativo</t>
  </si>
  <si>
    <t xml:space="preserve">ISO/IEC 25010</t>
  </si>
  <si>
    <t xml:space="preserve">Modelo de calidad de software</t>
  </si>
  <si>
    <t xml:space="preserve">https://www.iso.org/standard/35733.html</t>
  </si>
  <si>
    <t xml:space="preserve">Estándar usado en pruebas T7</t>
  </si>
  <si>
    <t xml:space="preserve">• Todos los enlaces son clicables directamente desde Excel (Ctrl+clic si no responde al primer clic).</t>
  </si>
  <si>
    <t xml:space="preserve">• Información verificada en junio de 2026. Los proveedores cloud y precios de mercado cambian con frecuencia.</t>
  </si>
  <si>
    <t xml:space="preserve">• Precios de hardware y servicios son de referencia; confirmar vigencia antes de la compra real.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</si>
</sst>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\$#,##0;&quot;($&quot;#,##0\)"/>
    <numFmt numFmtId="167" formatCode="dd/mm/yyyy"/>
    <numFmt numFmtId="168" formatCode="0\%"/>
    <numFmt numFmtId="169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60606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606060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b val="true"/>
      <sz val="8"/>
      <color rgb="FF1A1A1A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sz val="8"/>
      <color rgb="FFAAAAAA"/>
      <name val="Arial"/>
      <family val="0"/>
      <charset val="1"/>
    </font>
    <font>
      <sz val="9"/>
      <color rgb="FFAAAAAA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606060"/>
        <bgColor rgb="FF808080"/>
      </patternFill>
    </fill>
    <fill>
      <patternFill patternType="solid">
        <fgColor rgb="FF404040"/>
        <bgColor rgb="FF333399"/>
      </patternFill>
    </fill>
    <fill>
      <patternFill patternType="solid">
        <fgColor rgb="FFF8F8F8"/>
        <bgColor rgb="FFFFFFFF"/>
      </patternFill>
    </fill>
    <fill>
      <patternFill patternType="solid">
        <fgColor rgb="FFFFFFFF"/>
        <bgColor rgb="FFF8F8F8"/>
      </patternFill>
    </fill>
    <fill>
      <patternFill patternType="solid">
        <fgColor rgb="FFD8D8D8"/>
        <bgColor rgb="FFDDEBF7"/>
      </patternFill>
    </fill>
    <fill>
      <patternFill patternType="solid">
        <fgColor rgb="FFDDEBF7"/>
        <bgColor rgb="FFF0F0F0"/>
      </patternFill>
    </fill>
    <fill>
      <patternFill patternType="solid">
        <fgColor rgb="FFAAAAAA"/>
        <bgColor rgb="FFC0C0C0"/>
      </patternFill>
    </fill>
    <fill>
      <patternFill patternType="solid">
        <fgColor rgb="FFF0F0F0"/>
        <bgColor rgb="FFF8F8F8"/>
      </patternFill>
    </fill>
    <fill>
      <patternFill patternType="solid">
        <fgColor rgb="FF808080"/>
        <bgColor rgb="FF60606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 diagonalUp="false" diagonalDown="false"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 diagonalUp="false" diagonalDown="false">
      <left/>
      <right/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DDEBF7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AAAAAA"/>
      <rgbColor rgb="FF003366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glassdoor.com.mx/Sueldos/colombia-desarrollador-de-software-sueldo-SRCH_IL.0,8_IN47_KO9,34.htm" TargetMode="External"/><Relationship Id="rId2" Type="http://schemas.openxmlformats.org/officeDocument/2006/relationships/hyperlink" Target="https://co.indeed.com/career/desarrollador-de-software/salaries" TargetMode="External"/><Relationship Id="rId3" Type="http://schemas.openxmlformats.org/officeDocument/2006/relationships/hyperlink" Target="https://tusalario.org/colombia/carrera/funcion-y-salario/desarrolladores-de-software" TargetMode="External"/><Relationship Id="rId4" Type="http://schemas.openxmlformats.org/officeDocument/2006/relationships/hyperlink" Target="https://www.coderhouse.com/us/sueldos/sueldo-desarrollador-full-stack-colombia-2025" TargetMode="External"/><Relationship Id="rId5" Type="http://schemas.openxmlformats.org/officeDocument/2006/relationships/hyperlink" Target="https://talently.tech/herramientas/colombia/salario" TargetMode="External"/><Relationship Id="rId6" Type="http://schemas.openxmlformats.org/officeDocument/2006/relationships/hyperlink" Target="https://aws.amazon.com/es/ec2/pricing/on-demand/" TargetMode="External"/><Relationship Id="rId7" Type="http://schemas.openxmlformats.org/officeDocument/2006/relationships/hyperlink" Target="https://calculator.aws/pricing/2/metahtml" TargetMode="External"/><Relationship Id="rId8" Type="http://schemas.openxmlformats.org/officeDocument/2006/relationships/hyperlink" Target="https://aws.amazon.com/es/rds/mysql/pricing/" TargetMode="External"/><Relationship Id="rId9" Type="http://schemas.openxmlformats.org/officeDocument/2006/relationships/hyperlink" Target="https://aws.amazon.com/es/s3/pricing/" TargetMode="External"/><Relationship Id="rId10" Type="http://schemas.openxmlformats.org/officeDocument/2006/relationships/hyperlink" Target="https://azure.microsoft.com/es-es/pricing/calculator/" TargetMode="External"/><Relationship Id="rId11" Type="http://schemas.openxmlformats.org/officeDocument/2006/relationships/hyperlink" Target="https://cloud.google.com/products/calculator" TargetMode="External"/><Relationship Id="rId12" Type="http://schemas.openxmlformats.org/officeDocument/2006/relationships/hyperlink" Target="https://nic.co/" TargetMode="External"/><Relationship Id="rId13" Type="http://schemas.openxmlformats.org/officeDocument/2006/relationships/hyperlink" Target="https://www.banrep.gov.co/es/estadisticas/trm" TargetMode="External"/><Relationship Id="rId14" Type="http://schemas.openxmlformats.org/officeDocument/2006/relationships/hyperlink" Target="https://www.codensa.com.co/" TargetMode="External"/><Relationship Id="rId15" Type="http://schemas.openxmlformats.org/officeDocument/2006/relationships/hyperlink" Target="https://www.claro.com.co/personas/servicios/internet/" TargetMode="External"/><Relationship Id="rId16" Type="http://schemas.openxmlformats.org/officeDocument/2006/relationships/hyperlink" Target="https://www.alkosto.com/computadores-y-tablets/computadores-portatiles" TargetMode="External"/><Relationship Id="rId17" Type="http://schemas.openxmlformats.org/officeDocument/2006/relationships/hyperlink" Target="https://www.exito.com/tecnologia/computadores/portatiles" TargetMode="External"/><Relationship Id="rId18" Type="http://schemas.openxmlformats.org/officeDocument/2006/relationships/hyperlink" Target="https://leyes.co/codigo_sustantivo_del_trabajo/34.htm" TargetMode="External"/><Relationship Id="rId19" Type="http://schemas.openxmlformats.org/officeDocument/2006/relationships/hyperlink" Target="https://www.dian.gov.co/" TargetMode="External"/><Relationship Id="rId20" Type="http://schemas.openxmlformats.org/officeDocument/2006/relationships/hyperlink" Target="https://www.mintic.gov.co/portal/inicio/" TargetMode="External"/><Relationship Id="rId21" Type="http://schemas.openxmlformats.org/officeDocument/2006/relationships/hyperlink" Target="https://www.sena.edu.co/" TargetMode="External"/><Relationship Id="rId22" Type="http://schemas.openxmlformats.org/officeDocument/2006/relationships/hyperlink" Target="https://www.iso.org/standard/3573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5.7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19.5" hidden="false" customHeight="true" outlineLevel="0" collapsed="false">
      <c r="A5" s="6" t="s">
        <v>7</v>
      </c>
      <c r="B5" s="7" t="s">
        <v>8</v>
      </c>
      <c r="C5" s="8" t="n">
        <f aca="false">IFERROR(E5/E14,0)</f>
        <v>0.618978597211379</v>
      </c>
      <c r="D5" s="9" t="s">
        <v>9</v>
      </c>
      <c r="E5" s="10" t="n">
        <f aca="false">'RECURSOS HUM'!J10</f>
        <v>161733333</v>
      </c>
    </row>
    <row r="6" customFormat="false" ht="19.5" hidden="false" customHeight="true" outlineLevel="0" collapsed="false">
      <c r="A6" s="11" t="s">
        <v>10</v>
      </c>
      <c r="B6" s="12" t="s">
        <v>11</v>
      </c>
      <c r="C6" s="13" t="n">
        <f aca="false">IFERROR(E6/E14,0)</f>
        <v>0.0026014438150377</v>
      </c>
      <c r="D6" s="14" t="s">
        <v>9</v>
      </c>
      <c r="E6" s="15" t="n">
        <f aca="false">ROUND('RECURSOS TECNOLÓGICOS'!E40,0)</f>
        <v>679733</v>
      </c>
    </row>
    <row r="7" customFormat="false" ht="19.5" hidden="false" customHeight="true" outlineLevel="0" collapsed="false">
      <c r="A7" s="6" t="s">
        <v>12</v>
      </c>
      <c r="B7" s="7" t="s">
        <v>13</v>
      </c>
      <c r="C7" s="8" t="n">
        <f aca="false">IFERROR(E7/E14,0)</f>
        <v>0.103057640354867</v>
      </c>
      <c r="D7" s="9" t="s">
        <v>9</v>
      </c>
      <c r="E7" s="10" t="n">
        <f aca="false">ROUND(GASTOS!E24,0)</f>
        <v>26928000</v>
      </c>
    </row>
    <row r="8" customFormat="false" ht="18" hidden="false" customHeight="true" outlineLevel="0" collapsed="false">
      <c r="A8" s="16"/>
      <c r="B8" s="17" t="s">
        <v>14</v>
      </c>
      <c r="C8" s="16"/>
      <c r="D8" s="16"/>
      <c r="E8" s="18" t="n">
        <f aca="false">SUM(E5:E7)</f>
        <v>189341066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6" t="s">
        <v>15</v>
      </c>
      <c r="B10" s="7" t="s">
        <v>16</v>
      </c>
      <c r="C10" s="19" t="n">
        <v>0.2</v>
      </c>
      <c r="D10" s="20"/>
      <c r="E10" s="21" t="n">
        <f aca="false">ROUND(E8*0.2,0)</f>
        <v>37868213</v>
      </c>
    </row>
    <row r="11" customFormat="false" ht="19.5" hidden="false" customHeight="true" outlineLevel="0" collapsed="false">
      <c r="A11" s="11" t="s">
        <v>17</v>
      </c>
      <c r="B11" s="12" t="s">
        <v>18</v>
      </c>
      <c r="C11" s="22" t="n">
        <v>0.15</v>
      </c>
      <c r="D11" s="23"/>
      <c r="E11" s="24" t="n">
        <f aca="false">ROUND((E8+E10)*0.15,0)</f>
        <v>34081392</v>
      </c>
    </row>
    <row r="13" customFormat="false" ht="7.5" hidden="false" customHeight="true" outlineLevel="0" collapsed="false"/>
    <row r="14" customFormat="false" ht="25.5" hidden="false" customHeight="true" outlineLevel="0" collapsed="false">
      <c r="A14" s="25" t="s">
        <v>19</v>
      </c>
      <c r="B14" s="25"/>
      <c r="C14" s="25"/>
      <c r="D14" s="25"/>
      <c r="E14" s="26" t="n">
        <f aca="false">E8+E10+E11</f>
        <v>261290671</v>
      </c>
    </row>
    <row r="16" customFormat="false" ht="13.5" hidden="false" customHeight="true" outlineLevel="0" collapsed="false">
      <c r="A16" s="27" t="s">
        <v>20</v>
      </c>
      <c r="B16" s="27"/>
      <c r="C16" s="27"/>
      <c r="D16" s="27"/>
      <c r="E16" s="27"/>
    </row>
    <row r="17" customFormat="false" ht="13.5" hidden="false" customHeight="true" outlineLevel="0" collapsed="false">
      <c r="A17" s="27" t="s">
        <v>21</v>
      </c>
      <c r="B17" s="27"/>
      <c r="C17" s="27"/>
      <c r="D17" s="27"/>
      <c r="E17" s="27"/>
    </row>
    <row r="18" customFormat="false" ht="13.5" hidden="false" customHeight="true" outlineLevel="0" collapsed="false">
      <c r="A18" s="27" t="s">
        <v>22</v>
      </c>
      <c r="B18" s="27"/>
      <c r="C18" s="27"/>
      <c r="D18" s="27"/>
      <c r="E18" s="27"/>
    </row>
    <row r="19" customFormat="false" ht="13.5" hidden="false" customHeight="true" outlineLevel="0" collapsed="false">
      <c r="A19" s="27" t="s">
        <v>23</v>
      </c>
      <c r="B19" s="27"/>
      <c r="C19" s="27"/>
      <c r="D19" s="27"/>
      <c r="E19" s="27"/>
    </row>
  </sheetData>
  <mergeCells count="7">
    <mergeCell ref="A1:E1"/>
    <mergeCell ref="A2:E2"/>
    <mergeCell ref="A14:D14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7" min="6" style="1" width="12"/>
    <col collapsed="false" customWidth="true" hidden="false" outlineLevel="0" max="8" min="8" style="1" width="9"/>
    <col collapsed="false" customWidth="true" hidden="false" outlineLevel="0" max="9" min="9" style="1" width="11"/>
  </cols>
  <sheetData>
    <row r="1" customFormat="false" ht="25.5" hidden="false" customHeight="true" outlineLevel="0" collapsed="false">
      <c r="A1" s="28" t="s">
        <v>24</v>
      </c>
      <c r="B1" s="28"/>
      <c r="C1" s="28"/>
      <c r="D1" s="28"/>
      <c r="E1" s="28"/>
      <c r="F1" s="28"/>
      <c r="G1" s="28"/>
      <c r="H1" s="28"/>
      <c r="I1" s="29"/>
    </row>
    <row r="2" customFormat="false" ht="15.75" hidden="false" customHeight="true" outlineLevel="0" collapsed="false">
      <c r="A2" s="5" t="s">
        <v>25</v>
      </c>
      <c r="B2" s="5" t="s">
        <v>2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</row>
    <row r="3" customFormat="false" ht="18" hidden="false" customHeight="true" outlineLevel="0" collapsed="false">
      <c r="A3" s="30" t="n">
        <v>1</v>
      </c>
      <c r="B3" s="30" t="s">
        <v>33</v>
      </c>
      <c r="C3" s="31" t="s">
        <v>34</v>
      </c>
      <c r="D3" s="16"/>
      <c r="E3" s="16"/>
      <c r="F3" s="16"/>
      <c r="G3" s="16"/>
      <c r="H3" s="16"/>
      <c r="I3" s="16"/>
    </row>
    <row r="4" customFormat="false" ht="15.75" hidden="false" customHeight="true" outlineLevel="0" collapsed="false">
      <c r="A4" s="20"/>
      <c r="B4" s="32" t="s">
        <v>35</v>
      </c>
      <c r="C4" s="33" t="s">
        <v>36</v>
      </c>
      <c r="D4" s="34" t="s">
        <v>37</v>
      </c>
      <c r="E4" s="35" t="s">
        <v>38</v>
      </c>
      <c r="F4" s="36" t="n">
        <v>46055</v>
      </c>
      <c r="G4" s="36" t="n">
        <v>46081</v>
      </c>
      <c r="H4" s="37" t="s">
        <v>39</v>
      </c>
      <c r="I4" s="38" t="n">
        <v>100</v>
      </c>
    </row>
    <row r="5" customFormat="false" ht="15.75" hidden="false" customHeight="true" outlineLevel="0" collapsed="false">
      <c r="A5" s="23"/>
      <c r="B5" s="39" t="s">
        <v>40</v>
      </c>
      <c r="C5" s="40" t="s">
        <v>41</v>
      </c>
      <c r="D5" s="41" t="s">
        <v>42</v>
      </c>
      <c r="E5" s="42" t="s">
        <v>38</v>
      </c>
      <c r="F5" s="43" t="n">
        <v>46082</v>
      </c>
      <c r="G5" s="43" t="n">
        <v>46091</v>
      </c>
      <c r="H5" s="37" t="s">
        <v>39</v>
      </c>
      <c r="I5" s="38" t="n">
        <v>100</v>
      </c>
    </row>
    <row r="6" customFormat="false" ht="15.75" hidden="false" customHeight="true" outlineLevel="0" collapsed="false">
      <c r="A6" s="20"/>
      <c r="B6" s="32" t="s">
        <v>43</v>
      </c>
      <c r="C6" s="33" t="s">
        <v>44</v>
      </c>
      <c r="D6" s="34" t="s">
        <v>45</v>
      </c>
      <c r="E6" s="35" t="s">
        <v>38</v>
      </c>
      <c r="F6" s="36" t="n">
        <v>46092</v>
      </c>
      <c r="G6" s="36" t="n">
        <v>46108</v>
      </c>
      <c r="H6" s="37" t="s">
        <v>39</v>
      </c>
      <c r="I6" s="38" t="n">
        <v>100</v>
      </c>
    </row>
    <row r="7" customFormat="false" ht="18" hidden="false" customHeight="true" outlineLevel="0" collapsed="false">
      <c r="A7" s="30" t="n">
        <v>2</v>
      </c>
      <c r="B7" s="30" t="s">
        <v>46</v>
      </c>
      <c r="C7" s="31" t="s">
        <v>47</v>
      </c>
      <c r="D7" s="16"/>
      <c r="E7" s="16"/>
      <c r="F7" s="16"/>
      <c r="G7" s="16"/>
      <c r="H7" s="16"/>
      <c r="I7" s="16"/>
    </row>
    <row r="8" customFormat="false" ht="15.75" hidden="false" customHeight="true" outlineLevel="0" collapsed="false">
      <c r="A8" s="20"/>
      <c r="B8" s="32" t="s">
        <v>48</v>
      </c>
      <c r="C8" s="33" t="s">
        <v>49</v>
      </c>
      <c r="D8" s="34" t="s">
        <v>50</v>
      </c>
      <c r="E8" s="35" t="s">
        <v>51</v>
      </c>
      <c r="F8" s="36" t="n">
        <v>46125</v>
      </c>
      <c r="G8" s="36" t="n">
        <v>46145</v>
      </c>
      <c r="H8" s="37" t="s">
        <v>39</v>
      </c>
      <c r="I8" s="38" t="n">
        <v>100</v>
      </c>
    </row>
    <row r="9" customFormat="false" ht="15.75" hidden="false" customHeight="true" outlineLevel="0" collapsed="false">
      <c r="A9" s="23"/>
      <c r="B9" s="39" t="s">
        <v>52</v>
      </c>
      <c r="C9" s="40" t="s">
        <v>53</v>
      </c>
      <c r="D9" s="41" t="s">
        <v>54</v>
      </c>
      <c r="E9" s="42" t="s">
        <v>51</v>
      </c>
      <c r="F9" s="43" t="n">
        <v>46146</v>
      </c>
      <c r="G9" s="43" t="n">
        <v>46169</v>
      </c>
      <c r="H9" s="37" t="s">
        <v>55</v>
      </c>
      <c r="I9" s="38" t="n">
        <v>90</v>
      </c>
    </row>
    <row r="10" customFormat="false" ht="15.75" hidden="false" customHeight="true" outlineLevel="0" collapsed="false">
      <c r="A10" s="20"/>
      <c r="B10" s="32" t="s">
        <v>56</v>
      </c>
      <c r="C10" s="33" t="s">
        <v>57</v>
      </c>
      <c r="D10" s="34" t="s">
        <v>58</v>
      </c>
      <c r="E10" s="35" t="s">
        <v>59</v>
      </c>
      <c r="F10" s="36" t="n">
        <v>46170</v>
      </c>
      <c r="G10" s="36" t="n">
        <v>46190</v>
      </c>
      <c r="H10" s="37" t="s">
        <v>55</v>
      </c>
      <c r="I10" s="38" t="n">
        <v>50</v>
      </c>
    </row>
    <row r="11" customFormat="false" ht="15.75" hidden="false" customHeight="true" outlineLevel="0" collapsed="false">
      <c r="A11" s="23"/>
      <c r="B11" s="39" t="s">
        <v>60</v>
      </c>
      <c r="C11" s="40" t="s">
        <v>61</v>
      </c>
      <c r="D11" s="41" t="s">
        <v>62</v>
      </c>
      <c r="E11" s="42" t="s">
        <v>63</v>
      </c>
      <c r="F11" s="43" t="n">
        <v>46191</v>
      </c>
      <c r="G11" s="43" t="n">
        <v>46206</v>
      </c>
      <c r="H11" s="37" t="s">
        <v>55</v>
      </c>
      <c r="I11" s="38" t="n">
        <v>0</v>
      </c>
    </row>
    <row r="12" customFormat="false" ht="18" hidden="false" customHeight="true" outlineLevel="0" collapsed="false">
      <c r="A12" s="30" t="n">
        <v>3</v>
      </c>
      <c r="B12" s="30" t="s">
        <v>64</v>
      </c>
      <c r="C12" s="31" t="s">
        <v>65</v>
      </c>
      <c r="D12" s="16"/>
      <c r="E12" s="16"/>
      <c r="F12" s="16"/>
      <c r="G12" s="16"/>
      <c r="H12" s="16"/>
      <c r="I12" s="16"/>
    </row>
    <row r="13" customFormat="false" ht="15.75" hidden="false" customHeight="true" outlineLevel="0" collapsed="false">
      <c r="A13" s="23"/>
      <c r="B13" s="39" t="s">
        <v>66</v>
      </c>
      <c r="C13" s="40" t="s">
        <v>67</v>
      </c>
      <c r="D13" s="41" t="s">
        <v>68</v>
      </c>
      <c r="E13" s="42" t="s">
        <v>69</v>
      </c>
      <c r="F13" s="43" t="n">
        <v>46223</v>
      </c>
      <c r="G13" s="43" t="n">
        <v>46237</v>
      </c>
      <c r="H13" s="37" t="s">
        <v>55</v>
      </c>
      <c r="I13" s="38" t="n">
        <v>0</v>
      </c>
    </row>
    <row r="14" customFormat="false" ht="15.75" hidden="false" customHeight="true" outlineLevel="0" collapsed="false">
      <c r="A14" s="20"/>
      <c r="B14" s="32" t="s">
        <v>70</v>
      </c>
      <c r="C14" s="33" t="s">
        <v>71</v>
      </c>
      <c r="D14" s="34" t="s">
        <v>72</v>
      </c>
      <c r="E14" s="35" t="s">
        <v>69</v>
      </c>
      <c r="F14" s="36" t="n">
        <v>46235</v>
      </c>
      <c r="G14" s="36" t="n">
        <v>46249</v>
      </c>
      <c r="H14" s="37" t="s">
        <v>55</v>
      </c>
      <c r="I14" s="38" t="n">
        <v>0</v>
      </c>
    </row>
    <row r="15" customFormat="false" ht="15.75" hidden="false" customHeight="true" outlineLevel="0" collapsed="false">
      <c r="A15" s="23"/>
      <c r="B15" s="39" t="s">
        <v>73</v>
      </c>
      <c r="C15" s="40" t="s">
        <v>74</v>
      </c>
      <c r="D15" s="41" t="s">
        <v>75</v>
      </c>
      <c r="E15" s="42" t="s">
        <v>69</v>
      </c>
      <c r="F15" s="43" t="n">
        <v>46250</v>
      </c>
      <c r="G15" s="43" t="n">
        <v>46265</v>
      </c>
      <c r="H15" s="37" t="s">
        <v>55</v>
      </c>
      <c r="I15" s="38" t="n">
        <v>0</v>
      </c>
    </row>
    <row r="16" customFormat="false" ht="15.75" hidden="false" customHeight="true" outlineLevel="0" collapsed="false">
      <c r="A16" s="20"/>
      <c r="B16" s="32" t="s">
        <v>76</v>
      </c>
      <c r="C16" s="33" t="s">
        <v>77</v>
      </c>
      <c r="D16" s="34" t="s">
        <v>78</v>
      </c>
      <c r="E16" s="35" t="s">
        <v>51</v>
      </c>
      <c r="F16" s="36" t="n">
        <v>46266</v>
      </c>
      <c r="G16" s="36" t="n">
        <v>46282</v>
      </c>
      <c r="H16" s="37" t="s">
        <v>55</v>
      </c>
      <c r="I16" s="38" t="n">
        <v>0</v>
      </c>
    </row>
    <row r="17" customFormat="false" ht="15.75" hidden="false" customHeight="true" outlineLevel="0" collapsed="false">
      <c r="A17" s="23"/>
      <c r="B17" s="39" t="s">
        <v>79</v>
      </c>
      <c r="C17" s="40" t="s">
        <v>80</v>
      </c>
      <c r="D17" s="41" t="s">
        <v>81</v>
      </c>
      <c r="E17" s="42" t="s">
        <v>51</v>
      </c>
      <c r="F17" s="43" t="n">
        <v>46280</v>
      </c>
      <c r="G17" s="43" t="n">
        <v>46294</v>
      </c>
      <c r="H17" s="37" t="s">
        <v>55</v>
      </c>
      <c r="I17" s="38" t="n">
        <v>0</v>
      </c>
    </row>
    <row r="18" customFormat="false" ht="15.75" hidden="false" customHeight="true" outlineLevel="0" collapsed="false">
      <c r="A18" s="20"/>
      <c r="B18" s="32" t="s">
        <v>82</v>
      </c>
      <c r="C18" s="33" t="s">
        <v>83</v>
      </c>
      <c r="D18" s="34" t="s">
        <v>84</v>
      </c>
      <c r="E18" s="35" t="s">
        <v>63</v>
      </c>
      <c r="F18" s="36" t="n">
        <v>46289</v>
      </c>
      <c r="G18" s="36" t="n">
        <v>46305</v>
      </c>
      <c r="H18" s="37" t="s">
        <v>55</v>
      </c>
      <c r="I18" s="38" t="n">
        <v>0</v>
      </c>
    </row>
    <row r="19" customFormat="false" ht="15.75" hidden="false" customHeight="true" outlineLevel="0" collapsed="false">
      <c r="A19" s="23"/>
      <c r="B19" s="39" t="s">
        <v>85</v>
      </c>
      <c r="C19" s="40" t="s">
        <v>86</v>
      </c>
      <c r="D19" s="41" t="s">
        <v>62</v>
      </c>
      <c r="E19" s="42" t="s">
        <v>63</v>
      </c>
      <c r="F19" s="43" t="n">
        <v>46300</v>
      </c>
      <c r="G19" s="43" t="n">
        <v>46306</v>
      </c>
      <c r="H19" s="37" t="s">
        <v>55</v>
      </c>
      <c r="I19" s="38" t="n">
        <v>0</v>
      </c>
    </row>
    <row r="20" customFormat="false" ht="18" hidden="false" customHeight="true" outlineLevel="0" collapsed="false">
      <c r="A20" s="30" t="n">
        <v>4</v>
      </c>
      <c r="B20" s="30" t="s">
        <v>87</v>
      </c>
      <c r="C20" s="31" t="s">
        <v>88</v>
      </c>
      <c r="D20" s="16"/>
      <c r="E20" s="16"/>
      <c r="F20" s="16"/>
      <c r="G20" s="16"/>
      <c r="H20" s="16"/>
      <c r="I20" s="16"/>
    </row>
    <row r="21" customFormat="false" ht="15.75" hidden="false" customHeight="true" outlineLevel="0" collapsed="false">
      <c r="A21" s="23"/>
      <c r="B21" s="39" t="s">
        <v>89</v>
      </c>
      <c r="C21" s="40" t="s">
        <v>90</v>
      </c>
      <c r="D21" s="41" t="s">
        <v>91</v>
      </c>
      <c r="E21" s="42" t="s">
        <v>69</v>
      </c>
      <c r="F21" s="43" t="n">
        <v>46314</v>
      </c>
      <c r="G21" s="43" t="n">
        <v>46329</v>
      </c>
      <c r="H21" s="37" t="s">
        <v>55</v>
      </c>
      <c r="I21" s="38" t="n">
        <v>0</v>
      </c>
    </row>
    <row r="22" customFormat="false" ht="15.75" hidden="false" customHeight="true" outlineLevel="0" collapsed="false">
      <c r="A22" s="20"/>
      <c r="B22" s="32" t="s">
        <v>92</v>
      </c>
      <c r="C22" s="33" t="s">
        <v>93</v>
      </c>
      <c r="D22" s="34" t="s">
        <v>94</v>
      </c>
      <c r="E22" s="35" t="s">
        <v>69</v>
      </c>
      <c r="F22" s="36" t="n">
        <v>46326</v>
      </c>
      <c r="G22" s="36" t="n">
        <v>46343</v>
      </c>
      <c r="H22" s="37" t="s">
        <v>55</v>
      </c>
      <c r="I22" s="38" t="n">
        <v>0</v>
      </c>
    </row>
    <row r="23" customFormat="false" ht="15.75" hidden="false" customHeight="true" outlineLevel="0" collapsed="false">
      <c r="A23" s="23"/>
      <c r="B23" s="39" t="s">
        <v>95</v>
      </c>
      <c r="C23" s="40" t="s">
        <v>96</v>
      </c>
      <c r="D23" s="41" t="s">
        <v>97</v>
      </c>
      <c r="E23" s="42" t="s">
        <v>69</v>
      </c>
      <c r="F23" s="43" t="n">
        <v>46340</v>
      </c>
      <c r="G23" s="43" t="n">
        <v>46357</v>
      </c>
      <c r="H23" s="37" t="s">
        <v>55</v>
      </c>
      <c r="I23" s="38" t="n">
        <v>0</v>
      </c>
    </row>
    <row r="24" customFormat="false" ht="15.75" hidden="false" customHeight="true" outlineLevel="0" collapsed="false">
      <c r="A24" s="20"/>
      <c r="B24" s="32" t="s">
        <v>98</v>
      </c>
      <c r="C24" s="33" t="s">
        <v>99</v>
      </c>
      <c r="D24" s="34" t="s">
        <v>100</v>
      </c>
      <c r="E24" s="35" t="s">
        <v>63</v>
      </c>
      <c r="F24" s="36" t="n">
        <v>46354</v>
      </c>
      <c r="G24" s="36" t="n">
        <v>46375</v>
      </c>
      <c r="H24" s="37" t="s">
        <v>55</v>
      </c>
      <c r="I24" s="38" t="n">
        <v>0</v>
      </c>
    </row>
    <row r="25" customFormat="false" ht="15.75" hidden="false" customHeight="true" outlineLevel="0" collapsed="false">
      <c r="A25" s="23"/>
      <c r="B25" s="39" t="s">
        <v>101</v>
      </c>
      <c r="C25" s="40" t="s">
        <v>102</v>
      </c>
      <c r="D25" s="41" t="s">
        <v>62</v>
      </c>
      <c r="E25" s="42" t="s">
        <v>63</v>
      </c>
      <c r="F25" s="43" t="n">
        <v>46396</v>
      </c>
      <c r="G25" s="43" t="n">
        <v>46409</v>
      </c>
      <c r="H25" s="37" t="s">
        <v>55</v>
      </c>
      <c r="I25" s="38" t="n">
        <v>0</v>
      </c>
    </row>
    <row r="26" customFormat="false" ht="18" hidden="false" customHeight="true" outlineLevel="0" collapsed="false">
      <c r="A26" s="30" t="n">
        <v>5</v>
      </c>
      <c r="B26" s="30" t="s">
        <v>103</v>
      </c>
      <c r="C26" s="31" t="s">
        <v>104</v>
      </c>
      <c r="D26" s="16"/>
      <c r="E26" s="16"/>
      <c r="F26" s="16"/>
      <c r="G26" s="16"/>
      <c r="H26" s="16"/>
      <c r="I26" s="16"/>
    </row>
    <row r="27" customFormat="false" ht="15.75" hidden="false" customHeight="true" outlineLevel="0" collapsed="false">
      <c r="A27" s="23"/>
      <c r="B27" s="39" t="s">
        <v>105</v>
      </c>
      <c r="C27" s="40" t="s">
        <v>106</v>
      </c>
      <c r="D27" s="41" t="s">
        <v>107</v>
      </c>
      <c r="E27" s="42" t="s">
        <v>108</v>
      </c>
      <c r="F27" s="43" t="n">
        <v>46414</v>
      </c>
      <c r="G27" s="43" t="n">
        <v>46437</v>
      </c>
      <c r="H27" s="37" t="s">
        <v>55</v>
      </c>
      <c r="I27" s="38" t="n">
        <v>0</v>
      </c>
    </row>
    <row r="28" customFormat="false" ht="15.75" hidden="false" customHeight="true" outlineLevel="0" collapsed="false">
      <c r="A28" s="20"/>
      <c r="B28" s="32" t="s">
        <v>109</v>
      </c>
      <c r="C28" s="33" t="s">
        <v>110</v>
      </c>
      <c r="D28" s="34" t="s">
        <v>111</v>
      </c>
      <c r="E28" s="35" t="s">
        <v>63</v>
      </c>
      <c r="F28" s="36" t="n">
        <v>46432</v>
      </c>
      <c r="G28" s="36" t="n">
        <v>46473</v>
      </c>
      <c r="H28" s="37" t="s">
        <v>55</v>
      </c>
      <c r="I28" s="38" t="n">
        <v>0</v>
      </c>
    </row>
    <row r="29" customFormat="false" ht="15.75" hidden="false" customHeight="true" outlineLevel="0" collapsed="false">
      <c r="A29" s="23"/>
      <c r="B29" s="39" t="s">
        <v>112</v>
      </c>
      <c r="C29" s="40" t="s">
        <v>86</v>
      </c>
      <c r="D29" s="41" t="s">
        <v>62</v>
      </c>
      <c r="E29" s="42" t="s">
        <v>63</v>
      </c>
      <c r="F29" s="43" t="n">
        <v>46468</v>
      </c>
      <c r="G29" s="43" t="n">
        <v>46479</v>
      </c>
      <c r="H29" s="37" t="s">
        <v>55</v>
      </c>
      <c r="I29" s="38" t="n">
        <v>0</v>
      </c>
    </row>
    <row r="30" customFormat="false" ht="18" hidden="false" customHeight="true" outlineLevel="0" collapsed="false">
      <c r="A30" s="30" t="n">
        <v>6</v>
      </c>
      <c r="B30" s="30" t="s">
        <v>113</v>
      </c>
      <c r="C30" s="31" t="s">
        <v>114</v>
      </c>
      <c r="D30" s="16"/>
      <c r="E30" s="16"/>
      <c r="F30" s="16"/>
      <c r="G30" s="16"/>
      <c r="H30" s="16"/>
      <c r="I30" s="16"/>
    </row>
    <row r="31" customFormat="false" ht="15.75" hidden="false" customHeight="true" outlineLevel="0" collapsed="false">
      <c r="A31" s="23"/>
      <c r="B31" s="39" t="s">
        <v>115</v>
      </c>
      <c r="C31" s="40" t="s">
        <v>116</v>
      </c>
      <c r="D31" s="41" t="s">
        <v>117</v>
      </c>
      <c r="E31" s="42" t="s">
        <v>63</v>
      </c>
      <c r="F31" s="43" t="n">
        <v>46498</v>
      </c>
      <c r="G31" s="43" t="n">
        <v>46518</v>
      </c>
      <c r="H31" s="37" t="s">
        <v>55</v>
      </c>
      <c r="I31" s="38" t="n">
        <v>0</v>
      </c>
    </row>
    <row r="32" customFormat="false" ht="15.75" hidden="false" customHeight="true" outlineLevel="0" collapsed="false">
      <c r="A32" s="20"/>
      <c r="B32" s="32" t="s">
        <v>118</v>
      </c>
      <c r="C32" s="33" t="s">
        <v>119</v>
      </c>
      <c r="D32" s="34" t="s">
        <v>120</v>
      </c>
      <c r="E32" s="35" t="s">
        <v>108</v>
      </c>
      <c r="F32" s="36" t="n">
        <v>46514</v>
      </c>
      <c r="G32" s="36" t="n">
        <v>46533</v>
      </c>
      <c r="H32" s="37" t="s">
        <v>55</v>
      </c>
      <c r="I32" s="38" t="n">
        <v>0</v>
      </c>
    </row>
    <row r="33" customFormat="false" ht="15.75" hidden="false" customHeight="true" outlineLevel="0" collapsed="false">
      <c r="A33" s="23"/>
      <c r="B33" s="39" t="s">
        <v>121</v>
      </c>
      <c r="C33" s="40" t="s">
        <v>122</v>
      </c>
      <c r="D33" s="41" t="s">
        <v>123</v>
      </c>
      <c r="E33" s="42" t="s">
        <v>63</v>
      </c>
      <c r="F33" s="43" t="n">
        <v>46527</v>
      </c>
      <c r="G33" s="43" t="n">
        <v>46554</v>
      </c>
      <c r="H33" s="37" t="s">
        <v>55</v>
      </c>
      <c r="I33" s="38" t="n">
        <v>0</v>
      </c>
    </row>
    <row r="34" customFormat="false" ht="15.75" hidden="false" customHeight="true" outlineLevel="0" collapsed="false">
      <c r="A34" s="20"/>
      <c r="B34" s="32" t="s">
        <v>124</v>
      </c>
      <c r="C34" s="33" t="s">
        <v>125</v>
      </c>
      <c r="D34" s="34" t="s">
        <v>126</v>
      </c>
      <c r="E34" s="35" t="s">
        <v>63</v>
      </c>
      <c r="F34" s="36" t="n">
        <v>46550</v>
      </c>
      <c r="G34" s="36" t="n">
        <v>46571</v>
      </c>
      <c r="H34" s="37" t="s">
        <v>55</v>
      </c>
      <c r="I34" s="38" t="n">
        <v>0</v>
      </c>
    </row>
    <row r="35" customFormat="false" ht="15.75" hidden="false" customHeight="true" outlineLevel="0" collapsed="false">
      <c r="A35" s="23"/>
      <c r="B35" s="39" t="s">
        <v>127</v>
      </c>
      <c r="C35" s="40" t="s">
        <v>128</v>
      </c>
      <c r="D35" s="41" t="s">
        <v>62</v>
      </c>
      <c r="E35" s="42" t="s">
        <v>63</v>
      </c>
      <c r="F35" s="43" t="n">
        <v>46568</v>
      </c>
      <c r="G35" s="43" t="n">
        <v>46575</v>
      </c>
      <c r="H35" s="37" t="s">
        <v>55</v>
      </c>
      <c r="I35" s="38" t="n">
        <v>0</v>
      </c>
    </row>
    <row r="36" customFormat="false" ht="18" hidden="false" customHeight="true" outlineLevel="0" collapsed="false">
      <c r="A36" s="30" t="n">
        <v>7</v>
      </c>
      <c r="B36" s="30" t="s">
        <v>129</v>
      </c>
      <c r="C36" s="31" t="s">
        <v>130</v>
      </c>
      <c r="D36" s="16"/>
      <c r="E36" s="16"/>
      <c r="F36" s="16"/>
      <c r="G36" s="16"/>
      <c r="H36" s="16"/>
      <c r="I36" s="16"/>
    </row>
    <row r="37" customFormat="false" ht="15.75" hidden="false" customHeight="true" outlineLevel="0" collapsed="false">
      <c r="A37" s="23"/>
      <c r="B37" s="39" t="s">
        <v>131</v>
      </c>
      <c r="C37" s="40" t="s">
        <v>132</v>
      </c>
      <c r="D37" s="41" t="s">
        <v>133</v>
      </c>
      <c r="E37" s="42" t="s">
        <v>134</v>
      </c>
      <c r="F37" s="43" t="n">
        <v>46596</v>
      </c>
      <c r="G37" s="43" t="n">
        <v>46610</v>
      </c>
      <c r="H37" s="37" t="s">
        <v>55</v>
      </c>
      <c r="I37" s="38" t="n">
        <v>0</v>
      </c>
    </row>
    <row r="38" customFormat="false" ht="15.75" hidden="false" customHeight="true" outlineLevel="0" collapsed="false">
      <c r="A38" s="20"/>
      <c r="B38" s="32" t="s">
        <v>135</v>
      </c>
      <c r="C38" s="33" t="s">
        <v>136</v>
      </c>
      <c r="D38" s="34" t="s">
        <v>137</v>
      </c>
      <c r="E38" s="35" t="s">
        <v>59</v>
      </c>
      <c r="F38" s="36" t="n">
        <v>46608</v>
      </c>
      <c r="G38" s="36" t="n">
        <v>46620</v>
      </c>
      <c r="H38" s="37" t="s">
        <v>55</v>
      </c>
      <c r="I38" s="38" t="n">
        <v>0</v>
      </c>
    </row>
    <row r="39" customFormat="false" ht="15.75" hidden="false" customHeight="true" outlineLevel="0" collapsed="false">
      <c r="A39" s="23"/>
      <c r="B39" s="39" t="s">
        <v>138</v>
      </c>
      <c r="C39" s="40" t="s">
        <v>139</v>
      </c>
      <c r="D39" s="41" t="s">
        <v>140</v>
      </c>
      <c r="E39" s="42" t="s">
        <v>134</v>
      </c>
      <c r="F39" s="43" t="n">
        <v>46618</v>
      </c>
      <c r="G39" s="43" t="n">
        <v>46628</v>
      </c>
      <c r="H39" s="37" t="s">
        <v>55</v>
      </c>
      <c r="I39" s="38" t="n">
        <v>0</v>
      </c>
    </row>
    <row r="40" customFormat="false" ht="15.75" hidden="false" customHeight="true" outlineLevel="0" collapsed="false">
      <c r="A40" s="20"/>
      <c r="B40" s="32" t="s">
        <v>141</v>
      </c>
      <c r="C40" s="33" t="s">
        <v>142</v>
      </c>
      <c r="D40" s="34" t="s">
        <v>143</v>
      </c>
      <c r="E40" s="35" t="s">
        <v>134</v>
      </c>
      <c r="F40" s="36" t="n">
        <v>46626</v>
      </c>
      <c r="G40" s="36" t="n">
        <v>46636</v>
      </c>
      <c r="H40" s="37" t="s">
        <v>55</v>
      </c>
      <c r="I40" s="38" t="n">
        <v>0</v>
      </c>
    </row>
    <row r="41" customFormat="false" ht="15.75" hidden="false" customHeight="true" outlineLevel="0" collapsed="false">
      <c r="A41" s="23"/>
      <c r="B41" s="39" t="s">
        <v>144</v>
      </c>
      <c r="C41" s="40" t="s">
        <v>145</v>
      </c>
      <c r="D41" s="41" t="s">
        <v>146</v>
      </c>
      <c r="E41" s="42" t="s">
        <v>51</v>
      </c>
      <c r="F41" s="43" t="n">
        <v>46634</v>
      </c>
      <c r="G41" s="43" t="n">
        <v>46640</v>
      </c>
      <c r="H41" s="37" t="s">
        <v>55</v>
      </c>
      <c r="I41" s="38" t="n">
        <v>0</v>
      </c>
    </row>
    <row r="42" customFormat="false" ht="15.75" hidden="false" customHeight="true" outlineLevel="0" collapsed="false">
      <c r="A42" s="20"/>
      <c r="B42" s="32" t="s">
        <v>147</v>
      </c>
      <c r="C42" s="33" t="s">
        <v>148</v>
      </c>
      <c r="D42" s="34" t="s">
        <v>62</v>
      </c>
      <c r="E42" s="35" t="s">
        <v>63</v>
      </c>
      <c r="F42" s="36" t="n">
        <v>46638</v>
      </c>
      <c r="G42" s="36" t="n">
        <v>46641</v>
      </c>
      <c r="H42" s="37" t="s">
        <v>55</v>
      </c>
      <c r="I42" s="38" t="n">
        <v>0</v>
      </c>
    </row>
    <row r="44" customFormat="false" ht="15.75" hidden="false" customHeight="true" outlineLevel="0" collapsed="false">
      <c r="A44" s="44" t="s">
        <v>149</v>
      </c>
      <c r="B44" s="44"/>
      <c r="C44" s="44"/>
      <c r="D44" s="44"/>
      <c r="E44" s="44"/>
      <c r="F44" s="44"/>
      <c r="G44" s="44"/>
      <c r="H44" s="44"/>
      <c r="I44" s="44"/>
    </row>
  </sheetData>
  <mergeCells count="2">
    <mergeCell ref="A1:H1"/>
    <mergeCell ref="A44:I44"/>
  </mergeCells>
  <conditionalFormatting sqref="I3:I42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4:H6 H8:H11 H13:H19 H21:H25 H27:H29 H31:H35 H37:H42" type="list">
      <formula1>"☐,☑"</formula1>
      <formula2>0</formula2>
    </dataValidation>
    <dataValidation allowBlank="true" error="Ingresa un número entre 0 y 100" errorStyle="stop" errorTitle="Valor inválido" operator="between" showDropDown="false" showErrorMessage="true" showInputMessage="false" sqref="I4:I6 I8:I11 I13:I19 I21:I25 I27:I29 I31:I35 I37:I42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1" min="9" style="1" width="14"/>
  </cols>
  <sheetData>
    <row r="1" customFormat="false" ht="25.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7.5" hidden="false" customHeight="true" outlineLevel="0" collapsed="false"/>
    <row r="4" customFormat="false" ht="18" hidden="false" customHeight="true" outlineLevel="0" collapsed="false">
      <c r="A4" s="45" t="s">
        <v>152</v>
      </c>
      <c r="B4" s="45"/>
      <c r="C4" s="45" t="s">
        <v>153</v>
      </c>
      <c r="D4" s="45"/>
      <c r="E4" s="45"/>
      <c r="F4" s="45" t="s">
        <v>154</v>
      </c>
      <c r="G4" s="45"/>
      <c r="H4" s="45"/>
      <c r="I4" s="45"/>
      <c r="J4" s="45"/>
      <c r="K4" s="45"/>
    </row>
    <row r="5" customFormat="false" ht="21.75" hidden="false" customHeight="true" outlineLevel="0" collapsed="false">
      <c r="A5" s="46" t="s">
        <v>155</v>
      </c>
      <c r="B5" s="23"/>
      <c r="C5" s="42" t="s">
        <v>156</v>
      </c>
      <c r="D5" s="42"/>
      <c r="E5" s="42"/>
      <c r="F5" s="41" t="s">
        <v>157</v>
      </c>
      <c r="G5" s="41"/>
      <c r="H5" s="41"/>
      <c r="I5" s="41"/>
      <c r="J5" s="41"/>
      <c r="K5" s="41"/>
    </row>
    <row r="6" customFormat="false" ht="21.75" hidden="false" customHeight="true" outlineLevel="0" collapsed="false">
      <c r="A6" s="46" t="s">
        <v>158</v>
      </c>
      <c r="B6" s="20"/>
      <c r="C6" s="42" t="s">
        <v>159</v>
      </c>
      <c r="D6" s="42"/>
      <c r="E6" s="42"/>
      <c r="F6" s="41" t="s">
        <v>160</v>
      </c>
      <c r="G6" s="41"/>
      <c r="H6" s="41"/>
      <c r="I6" s="41"/>
      <c r="J6" s="41"/>
      <c r="K6" s="41"/>
    </row>
    <row r="7" customFormat="false" ht="21.75" hidden="false" customHeight="true" outlineLevel="0" collapsed="false">
      <c r="A7" s="46" t="s">
        <v>161</v>
      </c>
      <c r="B7" s="23"/>
      <c r="C7" s="42" t="s">
        <v>162</v>
      </c>
      <c r="D7" s="42"/>
      <c r="E7" s="42"/>
      <c r="F7" s="41" t="s">
        <v>163</v>
      </c>
      <c r="G7" s="41"/>
      <c r="H7" s="41"/>
      <c r="I7" s="41"/>
      <c r="J7" s="41"/>
      <c r="K7" s="41"/>
    </row>
    <row r="8" customFormat="false" ht="7.5" hidden="false" customHeight="true" outlineLevel="0" collapsed="false"/>
    <row r="9" customFormat="false" ht="18" hidden="false" customHeight="true" outlineLevel="0" collapsed="false">
      <c r="A9" s="45" t="s">
        <v>164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 customFormat="false" ht="15.75" hidden="false" customHeight="true" outlineLevel="0" collapsed="false">
      <c r="A10" s="47" t="s">
        <v>2</v>
      </c>
      <c r="B10" s="47" t="s">
        <v>165</v>
      </c>
      <c r="C10" s="47" t="s">
        <v>166</v>
      </c>
      <c r="D10" s="47" t="s">
        <v>167</v>
      </c>
      <c r="E10" s="47" t="s">
        <v>168</v>
      </c>
      <c r="F10" s="47" t="s">
        <v>169</v>
      </c>
      <c r="G10" s="47"/>
      <c r="H10" s="47"/>
      <c r="I10" s="47"/>
      <c r="J10" s="47"/>
      <c r="K10" s="47"/>
    </row>
    <row r="11" customFormat="false" ht="19.5" hidden="false" customHeight="true" outlineLevel="0" collapsed="false">
      <c r="A11" s="48" t="s">
        <v>33</v>
      </c>
      <c r="B11" s="46" t="s">
        <v>170</v>
      </c>
      <c r="C11" s="41" t="s">
        <v>171</v>
      </c>
      <c r="D11" s="41"/>
      <c r="E11" s="41" t="s">
        <v>172</v>
      </c>
      <c r="F11" s="41"/>
      <c r="G11" s="41" t="s">
        <v>173</v>
      </c>
      <c r="H11" s="41"/>
      <c r="I11" s="41"/>
      <c r="J11" s="41"/>
      <c r="K11" s="41"/>
    </row>
    <row r="12" customFormat="false" ht="19.5" hidden="false" customHeight="true" outlineLevel="0" collapsed="false">
      <c r="A12" s="48" t="s">
        <v>46</v>
      </c>
      <c r="B12" s="46" t="s">
        <v>174</v>
      </c>
      <c r="C12" s="41" t="s">
        <v>175</v>
      </c>
      <c r="D12" s="41"/>
      <c r="E12" s="41" t="s">
        <v>176</v>
      </c>
      <c r="F12" s="41"/>
      <c r="G12" s="41" t="s">
        <v>177</v>
      </c>
      <c r="H12" s="41"/>
      <c r="I12" s="41"/>
      <c r="J12" s="41"/>
      <c r="K12" s="41"/>
    </row>
    <row r="13" customFormat="false" ht="19.5" hidden="false" customHeight="true" outlineLevel="0" collapsed="false">
      <c r="A13" s="48" t="s">
        <v>64</v>
      </c>
      <c r="B13" s="46" t="s">
        <v>178</v>
      </c>
      <c r="C13" s="41" t="s">
        <v>179</v>
      </c>
      <c r="D13" s="41"/>
      <c r="E13" s="41" t="s">
        <v>180</v>
      </c>
      <c r="F13" s="41"/>
      <c r="G13" s="41" t="s">
        <v>181</v>
      </c>
      <c r="H13" s="41"/>
      <c r="I13" s="41"/>
      <c r="J13" s="41"/>
      <c r="K13" s="41"/>
    </row>
    <row r="14" customFormat="false" ht="19.5" hidden="false" customHeight="true" outlineLevel="0" collapsed="false">
      <c r="A14" s="48" t="s">
        <v>87</v>
      </c>
      <c r="B14" s="46" t="s">
        <v>182</v>
      </c>
      <c r="C14" s="41" t="s">
        <v>183</v>
      </c>
      <c r="D14" s="41"/>
      <c r="E14" s="41" t="s">
        <v>172</v>
      </c>
      <c r="F14" s="41"/>
      <c r="G14" s="41" t="s">
        <v>184</v>
      </c>
      <c r="H14" s="41"/>
      <c r="I14" s="41"/>
      <c r="J14" s="41"/>
      <c r="K14" s="41"/>
    </row>
    <row r="15" customFormat="false" ht="19.5" hidden="false" customHeight="true" outlineLevel="0" collapsed="false">
      <c r="A15" s="48" t="s">
        <v>103</v>
      </c>
      <c r="B15" s="46" t="s">
        <v>185</v>
      </c>
      <c r="C15" s="41" t="s">
        <v>186</v>
      </c>
      <c r="D15" s="41"/>
      <c r="E15" s="41" t="s">
        <v>187</v>
      </c>
      <c r="F15" s="41"/>
      <c r="G15" s="41" t="s">
        <v>188</v>
      </c>
      <c r="H15" s="41"/>
      <c r="I15" s="41"/>
      <c r="J15" s="41"/>
      <c r="K15" s="41"/>
    </row>
    <row r="16" customFormat="false" ht="7.5" hidden="false" customHeight="true" outlineLevel="0" collapsed="false"/>
    <row r="17" customFormat="false" ht="18" hidden="false" customHeight="true" outlineLevel="0" collapsed="false">
      <c r="A17" s="45" t="s">
        <v>189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customFormat="false" ht="15.75" hidden="false" customHeight="true" outlineLevel="0" collapsed="false">
      <c r="A18" s="47" t="s">
        <v>190</v>
      </c>
      <c r="B18" s="47" t="s">
        <v>191</v>
      </c>
      <c r="C18" s="47" t="s">
        <v>192</v>
      </c>
      <c r="D18" s="47" t="s">
        <v>193</v>
      </c>
      <c r="E18" s="47" t="s">
        <v>194</v>
      </c>
      <c r="F18" s="47" t="s">
        <v>195</v>
      </c>
      <c r="G18" s="47" t="s">
        <v>196</v>
      </c>
      <c r="H18" s="47" t="s">
        <v>197</v>
      </c>
      <c r="I18" s="47" t="s">
        <v>29</v>
      </c>
      <c r="J18" s="47" t="s">
        <v>30</v>
      </c>
      <c r="K18" s="47" t="s">
        <v>198</v>
      </c>
    </row>
    <row r="19" customFormat="false" ht="21.75" hidden="false" customHeight="true" outlineLevel="0" collapsed="false">
      <c r="A19" s="48" t="s">
        <v>199</v>
      </c>
      <c r="B19" s="11" t="s">
        <v>200</v>
      </c>
      <c r="C19" s="49" t="s">
        <v>201</v>
      </c>
      <c r="D19" s="41" t="s">
        <v>202</v>
      </c>
      <c r="E19" s="50" t="s">
        <v>203</v>
      </c>
      <c r="F19" s="51" t="n">
        <v>5</v>
      </c>
      <c r="G19" s="4" t="s">
        <v>204</v>
      </c>
      <c r="H19" s="42" t="s">
        <v>205</v>
      </c>
      <c r="I19" s="42" t="s">
        <v>206</v>
      </c>
      <c r="J19" s="42" t="s">
        <v>207</v>
      </c>
      <c r="K19" s="42" t="s">
        <v>208</v>
      </c>
    </row>
    <row r="20" customFormat="false" ht="21.75" hidden="false" customHeight="true" outlineLevel="0" collapsed="false">
      <c r="A20" s="48" t="s">
        <v>209</v>
      </c>
      <c r="B20" s="11" t="s">
        <v>200</v>
      </c>
      <c r="C20" s="49" t="s">
        <v>210</v>
      </c>
      <c r="D20" s="41" t="s">
        <v>211</v>
      </c>
      <c r="E20" s="50" t="s">
        <v>212</v>
      </c>
      <c r="F20" s="51" t="n">
        <v>8</v>
      </c>
      <c r="G20" s="4" t="s">
        <v>204</v>
      </c>
      <c r="H20" s="42" t="s">
        <v>205</v>
      </c>
      <c r="I20" s="42" t="s">
        <v>206</v>
      </c>
      <c r="J20" s="42" t="s">
        <v>213</v>
      </c>
      <c r="K20" s="42" t="s">
        <v>208</v>
      </c>
    </row>
    <row r="21" customFormat="false" ht="21.75" hidden="false" customHeight="true" outlineLevel="0" collapsed="false">
      <c r="A21" s="48" t="s">
        <v>214</v>
      </c>
      <c r="B21" s="11" t="s">
        <v>200</v>
      </c>
      <c r="C21" s="49" t="s">
        <v>201</v>
      </c>
      <c r="D21" s="41" t="s">
        <v>215</v>
      </c>
      <c r="E21" s="50" t="s">
        <v>216</v>
      </c>
      <c r="F21" s="51" t="n">
        <v>5</v>
      </c>
      <c r="G21" s="4" t="s">
        <v>204</v>
      </c>
      <c r="H21" s="42" t="s">
        <v>217</v>
      </c>
      <c r="I21" s="42" t="s">
        <v>218</v>
      </c>
      <c r="J21" s="42" t="s">
        <v>219</v>
      </c>
      <c r="K21" s="42" t="s">
        <v>208</v>
      </c>
    </row>
    <row r="22" customFormat="false" ht="21.75" hidden="false" customHeight="true" outlineLevel="0" collapsed="false">
      <c r="A22" s="48" t="s">
        <v>220</v>
      </c>
      <c r="B22" s="11" t="s">
        <v>221</v>
      </c>
      <c r="C22" s="49" t="s">
        <v>201</v>
      </c>
      <c r="D22" s="41" t="s">
        <v>222</v>
      </c>
      <c r="E22" s="50" t="s">
        <v>223</v>
      </c>
      <c r="F22" s="51" t="n">
        <v>5</v>
      </c>
      <c r="G22" s="4" t="s">
        <v>204</v>
      </c>
      <c r="H22" s="42" t="s">
        <v>217</v>
      </c>
      <c r="I22" s="42" t="s">
        <v>218</v>
      </c>
      <c r="J22" s="42" t="s">
        <v>219</v>
      </c>
      <c r="K22" s="42" t="s">
        <v>208</v>
      </c>
    </row>
    <row r="23" customFormat="false" ht="21.75" hidden="false" customHeight="true" outlineLevel="0" collapsed="false">
      <c r="A23" s="48" t="s">
        <v>224</v>
      </c>
      <c r="B23" s="11" t="s">
        <v>221</v>
      </c>
      <c r="C23" s="49" t="s">
        <v>225</v>
      </c>
      <c r="D23" s="41" t="s">
        <v>226</v>
      </c>
      <c r="E23" s="50" t="s">
        <v>227</v>
      </c>
      <c r="F23" s="51" t="n">
        <v>3</v>
      </c>
      <c r="G23" s="4" t="s">
        <v>204</v>
      </c>
      <c r="H23" s="42" t="s">
        <v>228</v>
      </c>
      <c r="I23" s="42" t="s">
        <v>229</v>
      </c>
      <c r="J23" s="42" t="s">
        <v>230</v>
      </c>
      <c r="K23" s="42" t="s">
        <v>208</v>
      </c>
    </row>
    <row r="24" customFormat="false" ht="21.75" hidden="false" customHeight="true" outlineLevel="0" collapsed="false">
      <c r="A24" s="48" t="s">
        <v>231</v>
      </c>
      <c r="B24" s="11" t="s">
        <v>221</v>
      </c>
      <c r="C24" s="49" t="s">
        <v>201</v>
      </c>
      <c r="D24" s="41" t="s">
        <v>232</v>
      </c>
      <c r="E24" s="50" t="s">
        <v>233</v>
      </c>
      <c r="F24" s="51" t="n">
        <v>3</v>
      </c>
      <c r="G24" s="52" t="s">
        <v>234</v>
      </c>
      <c r="H24" s="42" t="s">
        <v>228</v>
      </c>
      <c r="I24" s="42" t="s">
        <v>229</v>
      </c>
      <c r="J24" s="42" t="s">
        <v>230</v>
      </c>
      <c r="K24" s="42" t="s">
        <v>208</v>
      </c>
    </row>
    <row r="25" customFormat="false" ht="21.75" hidden="false" customHeight="true" outlineLevel="0" collapsed="false">
      <c r="A25" s="48" t="s">
        <v>235</v>
      </c>
      <c r="B25" s="11" t="s">
        <v>221</v>
      </c>
      <c r="C25" s="49" t="s">
        <v>210</v>
      </c>
      <c r="D25" s="41" t="s">
        <v>236</v>
      </c>
      <c r="E25" s="50" t="s">
        <v>237</v>
      </c>
      <c r="F25" s="51" t="n">
        <v>2</v>
      </c>
      <c r="G25" s="52" t="s">
        <v>234</v>
      </c>
      <c r="H25" s="42" t="s">
        <v>228</v>
      </c>
      <c r="I25" s="42" t="s">
        <v>238</v>
      </c>
      <c r="J25" s="42" t="s">
        <v>239</v>
      </c>
      <c r="K25" s="42" t="s">
        <v>208</v>
      </c>
    </row>
    <row r="26" customFormat="false" ht="21.75" hidden="false" customHeight="true" outlineLevel="0" collapsed="false">
      <c r="A26" s="48" t="s">
        <v>240</v>
      </c>
      <c r="B26" s="11" t="s">
        <v>221</v>
      </c>
      <c r="C26" s="49" t="s">
        <v>201</v>
      </c>
      <c r="D26" s="41" t="s">
        <v>241</v>
      </c>
      <c r="E26" s="50" t="s">
        <v>242</v>
      </c>
      <c r="F26" s="51" t="n">
        <v>3</v>
      </c>
      <c r="G26" s="52" t="s">
        <v>234</v>
      </c>
      <c r="H26" s="42" t="s">
        <v>217</v>
      </c>
      <c r="I26" s="42" t="s">
        <v>229</v>
      </c>
      <c r="J26" s="42" t="s">
        <v>230</v>
      </c>
      <c r="K26" s="42" t="s">
        <v>208</v>
      </c>
    </row>
    <row r="27" customFormat="false" ht="21.75" hidden="false" customHeight="true" outlineLevel="0" collapsed="false">
      <c r="A27" s="48" t="s">
        <v>243</v>
      </c>
      <c r="B27" s="11" t="s">
        <v>221</v>
      </c>
      <c r="C27" s="49" t="s">
        <v>201</v>
      </c>
      <c r="D27" s="41" t="s">
        <v>244</v>
      </c>
      <c r="E27" s="50" t="s">
        <v>245</v>
      </c>
      <c r="F27" s="51" t="n">
        <v>5</v>
      </c>
      <c r="G27" s="53" t="s">
        <v>246</v>
      </c>
      <c r="H27" s="42" t="s">
        <v>247</v>
      </c>
      <c r="I27" s="42" t="s">
        <v>248</v>
      </c>
      <c r="J27" s="42" t="s">
        <v>249</v>
      </c>
      <c r="K27" s="42" t="s">
        <v>208</v>
      </c>
    </row>
    <row r="28" customFormat="false" ht="21.75" hidden="false" customHeight="true" outlineLevel="0" collapsed="false">
      <c r="A28" s="48" t="s">
        <v>250</v>
      </c>
      <c r="B28" s="11" t="s">
        <v>251</v>
      </c>
      <c r="C28" s="49" t="s">
        <v>225</v>
      </c>
      <c r="D28" s="41" t="s">
        <v>252</v>
      </c>
      <c r="E28" s="50" t="s">
        <v>253</v>
      </c>
      <c r="F28" s="51" t="n">
        <v>5</v>
      </c>
      <c r="G28" s="4" t="s">
        <v>204</v>
      </c>
      <c r="H28" s="42" t="s">
        <v>228</v>
      </c>
      <c r="I28" s="42" t="s">
        <v>238</v>
      </c>
      <c r="J28" s="42" t="s">
        <v>254</v>
      </c>
      <c r="K28" s="42" t="s">
        <v>208</v>
      </c>
    </row>
    <row r="29" customFormat="false" ht="21.75" hidden="false" customHeight="true" outlineLevel="0" collapsed="false">
      <c r="A29" s="48" t="s">
        <v>255</v>
      </c>
      <c r="B29" s="11" t="s">
        <v>251</v>
      </c>
      <c r="C29" s="49" t="s">
        <v>225</v>
      </c>
      <c r="D29" s="41" t="s">
        <v>256</v>
      </c>
      <c r="E29" s="50" t="s">
        <v>257</v>
      </c>
      <c r="F29" s="51" t="n">
        <v>8</v>
      </c>
      <c r="G29" s="4" t="s">
        <v>204</v>
      </c>
      <c r="H29" s="42" t="s">
        <v>247</v>
      </c>
      <c r="I29" s="42" t="s">
        <v>248</v>
      </c>
      <c r="J29" s="42" t="s">
        <v>258</v>
      </c>
      <c r="K29" s="42" t="s">
        <v>208</v>
      </c>
    </row>
    <row r="30" customFormat="false" ht="21.75" hidden="false" customHeight="true" outlineLevel="0" collapsed="false">
      <c r="A30" s="48" t="s">
        <v>259</v>
      </c>
      <c r="B30" s="11" t="s">
        <v>251</v>
      </c>
      <c r="C30" s="49" t="s">
        <v>225</v>
      </c>
      <c r="D30" s="41" t="s">
        <v>260</v>
      </c>
      <c r="E30" s="50" t="s">
        <v>261</v>
      </c>
      <c r="F30" s="51" t="n">
        <v>3</v>
      </c>
      <c r="G30" s="52" t="s">
        <v>234</v>
      </c>
      <c r="H30" s="42" t="s">
        <v>247</v>
      </c>
      <c r="I30" s="42" t="s">
        <v>262</v>
      </c>
      <c r="J30" s="42" t="s">
        <v>263</v>
      </c>
      <c r="K30" s="42" t="s">
        <v>208</v>
      </c>
    </row>
    <row r="31" customFormat="false" ht="21.75" hidden="false" customHeight="true" outlineLevel="0" collapsed="false">
      <c r="A31" s="48" t="s">
        <v>264</v>
      </c>
      <c r="B31" s="11" t="s">
        <v>251</v>
      </c>
      <c r="C31" s="49" t="s">
        <v>210</v>
      </c>
      <c r="D31" s="41" t="s">
        <v>265</v>
      </c>
      <c r="E31" s="50" t="s">
        <v>266</v>
      </c>
      <c r="F31" s="51" t="n">
        <v>3</v>
      </c>
      <c r="G31" s="4" t="s">
        <v>204</v>
      </c>
      <c r="H31" s="42" t="s">
        <v>228</v>
      </c>
      <c r="I31" s="42" t="s">
        <v>238</v>
      </c>
      <c r="J31" s="42" t="s">
        <v>254</v>
      </c>
      <c r="K31" s="42" t="s">
        <v>208</v>
      </c>
    </row>
    <row r="32" customFormat="false" ht="21.75" hidden="false" customHeight="true" outlineLevel="0" collapsed="false">
      <c r="A32" s="48" t="s">
        <v>267</v>
      </c>
      <c r="B32" s="11" t="s">
        <v>251</v>
      </c>
      <c r="C32" s="49" t="s">
        <v>225</v>
      </c>
      <c r="D32" s="41" t="s">
        <v>268</v>
      </c>
      <c r="E32" s="50" t="s">
        <v>269</v>
      </c>
      <c r="F32" s="51" t="n">
        <v>3</v>
      </c>
      <c r="G32" s="52" t="s">
        <v>234</v>
      </c>
      <c r="H32" s="42" t="s">
        <v>247</v>
      </c>
      <c r="I32" s="42" t="s">
        <v>262</v>
      </c>
      <c r="J32" s="42" t="s">
        <v>263</v>
      </c>
      <c r="K32" s="42" t="s">
        <v>208</v>
      </c>
    </row>
    <row r="33" customFormat="false" ht="21.75" hidden="false" customHeight="true" outlineLevel="0" collapsed="false">
      <c r="A33" s="48" t="s">
        <v>270</v>
      </c>
      <c r="B33" s="11" t="s">
        <v>271</v>
      </c>
      <c r="C33" s="49" t="s">
        <v>201</v>
      </c>
      <c r="D33" s="41" t="s">
        <v>272</v>
      </c>
      <c r="E33" s="50" t="s">
        <v>273</v>
      </c>
      <c r="F33" s="51" t="n">
        <v>5</v>
      </c>
      <c r="G33" s="4" t="s">
        <v>204</v>
      </c>
      <c r="H33" s="42" t="s">
        <v>274</v>
      </c>
      <c r="I33" s="42" t="s">
        <v>275</v>
      </c>
      <c r="J33" s="42" t="s">
        <v>276</v>
      </c>
      <c r="K33" s="42" t="s">
        <v>208</v>
      </c>
    </row>
    <row r="34" customFormat="false" ht="21.75" hidden="false" customHeight="true" outlineLevel="0" collapsed="false">
      <c r="A34" s="48" t="s">
        <v>277</v>
      </c>
      <c r="B34" s="11" t="s">
        <v>271</v>
      </c>
      <c r="C34" s="49" t="s">
        <v>201</v>
      </c>
      <c r="D34" s="41" t="s">
        <v>278</v>
      </c>
      <c r="E34" s="50" t="s">
        <v>279</v>
      </c>
      <c r="F34" s="51" t="n">
        <v>5</v>
      </c>
      <c r="G34" s="4" t="s">
        <v>204</v>
      </c>
      <c r="H34" s="42" t="s">
        <v>274</v>
      </c>
      <c r="I34" s="42" t="s">
        <v>275</v>
      </c>
      <c r="J34" s="42" t="s">
        <v>276</v>
      </c>
      <c r="K34" s="42" t="s">
        <v>208</v>
      </c>
    </row>
    <row r="35" customFormat="false" ht="21.75" hidden="false" customHeight="true" outlineLevel="0" collapsed="false">
      <c r="A35" s="48" t="s">
        <v>280</v>
      </c>
      <c r="B35" s="11" t="s">
        <v>271</v>
      </c>
      <c r="C35" s="49" t="s">
        <v>201</v>
      </c>
      <c r="D35" s="41" t="s">
        <v>281</v>
      </c>
      <c r="E35" s="50" t="s">
        <v>282</v>
      </c>
      <c r="F35" s="51" t="n">
        <v>5</v>
      </c>
      <c r="G35" s="4" t="s">
        <v>204</v>
      </c>
      <c r="H35" s="42" t="s">
        <v>274</v>
      </c>
      <c r="I35" s="42" t="s">
        <v>283</v>
      </c>
      <c r="J35" s="42" t="s">
        <v>284</v>
      </c>
      <c r="K35" s="42" t="s">
        <v>208</v>
      </c>
    </row>
    <row r="36" customFormat="false" ht="21.75" hidden="false" customHeight="true" outlineLevel="0" collapsed="false">
      <c r="A36" s="48" t="s">
        <v>285</v>
      </c>
      <c r="B36" s="11" t="s">
        <v>286</v>
      </c>
      <c r="C36" s="49" t="s">
        <v>287</v>
      </c>
      <c r="D36" s="41" t="s">
        <v>288</v>
      </c>
      <c r="E36" s="50" t="s">
        <v>289</v>
      </c>
      <c r="F36" s="51" t="n">
        <v>13</v>
      </c>
      <c r="G36" s="4" t="s">
        <v>204</v>
      </c>
      <c r="H36" s="42" t="s">
        <v>290</v>
      </c>
      <c r="I36" s="42" t="s">
        <v>291</v>
      </c>
      <c r="J36" s="42" t="s">
        <v>292</v>
      </c>
      <c r="K36" s="42" t="s">
        <v>208</v>
      </c>
    </row>
    <row r="37" customFormat="false" ht="21.75" hidden="false" customHeight="true" outlineLevel="0" collapsed="false">
      <c r="A37" s="48" t="s">
        <v>293</v>
      </c>
      <c r="B37" s="11" t="s">
        <v>286</v>
      </c>
      <c r="C37" s="49" t="s">
        <v>294</v>
      </c>
      <c r="D37" s="41" t="s">
        <v>295</v>
      </c>
      <c r="E37" s="50" t="s">
        <v>296</v>
      </c>
      <c r="F37" s="51" t="n">
        <v>5</v>
      </c>
      <c r="G37" s="4" t="s">
        <v>204</v>
      </c>
      <c r="H37" s="42" t="s">
        <v>290</v>
      </c>
      <c r="I37" s="42" t="s">
        <v>291</v>
      </c>
      <c r="J37" s="42" t="s">
        <v>292</v>
      </c>
      <c r="K37" s="42" t="s">
        <v>208</v>
      </c>
    </row>
    <row r="38" customFormat="false" ht="21.75" hidden="false" customHeight="true" outlineLevel="0" collapsed="false">
      <c r="A38" s="48" t="s">
        <v>297</v>
      </c>
      <c r="B38" s="11" t="s">
        <v>286</v>
      </c>
      <c r="C38" s="49" t="s">
        <v>201</v>
      </c>
      <c r="D38" s="41" t="s">
        <v>298</v>
      </c>
      <c r="E38" s="50" t="s">
        <v>299</v>
      </c>
      <c r="F38" s="51" t="n">
        <v>8</v>
      </c>
      <c r="G38" s="4" t="s">
        <v>204</v>
      </c>
      <c r="H38" s="42" t="s">
        <v>290</v>
      </c>
      <c r="I38" s="42" t="s">
        <v>300</v>
      </c>
      <c r="J38" s="42" t="s">
        <v>301</v>
      </c>
      <c r="K38" s="42" t="s">
        <v>208</v>
      </c>
    </row>
    <row r="39" customFormat="false" ht="21.75" hidden="false" customHeight="true" outlineLevel="0" collapsed="false">
      <c r="A39" s="48" t="s">
        <v>302</v>
      </c>
      <c r="B39" s="11" t="s">
        <v>286</v>
      </c>
      <c r="C39" s="49" t="s">
        <v>287</v>
      </c>
      <c r="D39" s="41" t="s">
        <v>303</v>
      </c>
      <c r="E39" s="50" t="s">
        <v>304</v>
      </c>
      <c r="F39" s="51" t="n">
        <v>8</v>
      </c>
      <c r="G39" s="52" t="s">
        <v>234</v>
      </c>
      <c r="H39" s="42" t="s">
        <v>290</v>
      </c>
      <c r="I39" s="42" t="s">
        <v>300</v>
      </c>
      <c r="J39" s="42" t="s">
        <v>301</v>
      </c>
      <c r="K39" s="42" t="s">
        <v>208</v>
      </c>
    </row>
    <row r="40" customFormat="false" ht="21.75" hidden="false" customHeight="true" outlineLevel="0" collapsed="false">
      <c r="A40" s="48" t="s">
        <v>305</v>
      </c>
      <c r="B40" s="11" t="s">
        <v>306</v>
      </c>
      <c r="C40" s="49" t="s">
        <v>201</v>
      </c>
      <c r="D40" s="41" t="s">
        <v>307</v>
      </c>
      <c r="E40" s="50" t="s">
        <v>308</v>
      </c>
      <c r="F40" s="51" t="n">
        <v>8</v>
      </c>
      <c r="G40" s="4" t="s">
        <v>204</v>
      </c>
      <c r="H40" s="42" t="s">
        <v>274</v>
      </c>
      <c r="I40" s="42" t="s">
        <v>283</v>
      </c>
      <c r="J40" s="42" t="s">
        <v>284</v>
      </c>
      <c r="K40" s="42" t="s">
        <v>208</v>
      </c>
    </row>
    <row r="41" customFormat="false" ht="21.75" hidden="false" customHeight="true" outlineLevel="0" collapsed="false">
      <c r="A41" s="48" t="s">
        <v>309</v>
      </c>
      <c r="B41" s="11" t="s">
        <v>306</v>
      </c>
      <c r="C41" s="49" t="s">
        <v>201</v>
      </c>
      <c r="D41" s="41" t="s">
        <v>310</v>
      </c>
      <c r="E41" s="50" t="s">
        <v>311</v>
      </c>
      <c r="F41" s="51" t="n">
        <v>8</v>
      </c>
      <c r="G41" s="52" t="s">
        <v>234</v>
      </c>
      <c r="H41" s="42" t="s">
        <v>312</v>
      </c>
      <c r="I41" s="42" t="s">
        <v>313</v>
      </c>
      <c r="J41" s="42" t="s">
        <v>314</v>
      </c>
      <c r="K41" s="42" t="s">
        <v>208</v>
      </c>
    </row>
    <row r="42" customFormat="false" ht="21.75" hidden="false" customHeight="true" outlineLevel="0" collapsed="false">
      <c r="A42" s="48" t="s">
        <v>315</v>
      </c>
      <c r="B42" s="11" t="s">
        <v>306</v>
      </c>
      <c r="C42" s="49" t="s">
        <v>201</v>
      </c>
      <c r="D42" s="41" t="s">
        <v>316</v>
      </c>
      <c r="E42" s="50" t="s">
        <v>317</v>
      </c>
      <c r="F42" s="51" t="n">
        <v>5</v>
      </c>
      <c r="G42" s="52" t="s">
        <v>234</v>
      </c>
      <c r="H42" s="42" t="s">
        <v>312</v>
      </c>
      <c r="I42" s="42" t="s">
        <v>313</v>
      </c>
      <c r="J42" s="42" t="s">
        <v>318</v>
      </c>
      <c r="K42" s="42" t="s">
        <v>208</v>
      </c>
    </row>
    <row r="43" customFormat="false" ht="21.75" hidden="false" customHeight="true" outlineLevel="0" collapsed="false">
      <c r="A43" s="48" t="s">
        <v>319</v>
      </c>
      <c r="B43" s="11" t="s">
        <v>306</v>
      </c>
      <c r="C43" s="49" t="s">
        <v>201</v>
      </c>
      <c r="D43" s="41" t="s">
        <v>320</v>
      </c>
      <c r="E43" s="50" t="s">
        <v>321</v>
      </c>
      <c r="F43" s="51" t="n">
        <v>5</v>
      </c>
      <c r="G43" s="53" t="s">
        <v>246</v>
      </c>
      <c r="H43" s="42" t="s">
        <v>312</v>
      </c>
      <c r="I43" s="42" t="s">
        <v>322</v>
      </c>
      <c r="J43" s="42" t="s">
        <v>323</v>
      </c>
      <c r="K43" s="42" t="s">
        <v>208</v>
      </c>
    </row>
    <row r="44" customFormat="false" ht="21.75" hidden="false" customHeight="true" outlineLevel="0" collapsed="false">
      <c r="A44" s="48" t="s">
        <v>324</v>
      </c>
      <c r="B44" s="11" t="s">
        <v>126</v>
      </c>
      <c r="C44" s="49" t="s">
        <v>294</v>
      </c>
      <c r="D44" s="41" t="s">
        <v>325</v>
      </c>
      <c r="E44" s="50" t="s">
        <v>326</v>
      </c>
      <c r="F44" s="51" t="n">
        <v>8</v>
      </c>
      <c r="G44" s="4" t="s">
        <v>204</v>
      </c>
      <c r="H44" s="42" t="s">
        <v>312</v>
      </c>
      <c r="I44" s="42" t="s">
        <v>313</v>
      </c>
      <c r="J44" s="42" t="s">
        <v>314</v>
      </c>
      <c r="K44" s="42" t="s">
        <v>208</v>
      </c>
    </row>
    <row r="45" customFormat="false" ht="21.75" hidden="false" customHeight="true" outlineLevel="0" collapsed="false">
      <c r="A45" s="48" t="s">
        <v>327</v>
      </c>
      <c r="B45" s="11" t="s">
        <v>126</v>
      </c>
      <c r="C45" s="49" t="s">
        <v>294</v>
      </c>
      <c r="D45" s="41" t="s">
        <v>328</v>
      </c>
      <c r="E45" s="50" t="s">
        <v>329</v>
      </c>
      <c r="F45" s="51" t="n">
        <v>5</v>
      </c>
      <c r="G45" s="4" t="s">
        <v>204</v>
      </c>
      <c r="H45" s="42" t="s">
        <v>312</v>
      </c>
      <c r="I45" s="42" t="s">
        <v>322</v>
      </c>
      <c r="J45" s="42" t="s">
        <v>323</v>
      </c>
      <c r="K45" s="42" t="s">
        <v>208</v>
      </c>
    </row>
    <row r="46" customFormat="false" ht="21.75" hidden="false" customHeight="true" outlineLevel="0" collapsed="false">
      <c r="A46" s="48" t="s">
        <v>330</v>
      </c>
      <c r="B46" s="11" t="s">
        <v>126</v>
      </c>
      <c r="C46" s="49" t="s">
        <v>331</v>
      </c>
      <c r="D46" s="41" t="s">
        <v>332</v>
      </c>
      <c r="E46" s="50" t="s">
        <v>333</v>
      </c>
      <c r="F46" s="51" t="n">
        <v>8</v>
      </c>
      <c r="G46" s="52" t="s">
        <v>234</v>
      </c>
      <c r="H46" s="42" t="s">
        <v>334</v>
      </c>
      <c r="I46" s="42" t="s">
        <v>335</v>
      </c>
      <c r="J46" s="42" t="s">
        <v>336</v>
      </c>
      <c r="K46" s="42" t="s">
        <v>208</v>
      </c>
    </row>
    <row r="47" customFormat="false" ht="21.75" hidden="false" customHeight="true" outlineLevel="0" collapsed="false">
      <c r="A47" s="48" t="s">
        <v>337</v>
      </c>
      <c r="B47" s="11" t="s">
        <v>126</v>
      </c>
      <c r="C47" s="49" t="s">
        <v>201</v>
      </c>
      <c r="D47" s="41" t="s">
        <v>338</v>
      </c>
      <c r="E47" s="50" t="s">
        <v>339</v>
      </c>
      <c r="F47" s="51" t="n">
        <v>5</v>
      </c>
      <c r="G47" s="52" t="s">
        <v>234</v>
      </c>
      <c r="H47" s="42" t="s">
        <v>334</v>
      </c>
      <c r="I47" s="42" t="s">
        <v>340</v>
      </c>
      <c r="J47" s="42" t="s">
        <v>341</v>
      </c>
      <c r="K47" s="42" t="s">
        <v>208</v>
      </c>
    </row>
    <row r="48" customFormat="false" ht="21.75" hidden="false" customHeight="true" outlineLevel="0" collapsed="false">
      <c r="A48" s="48" t="s">
        <v>342</v>
      </c>
      <c r="B48" s="11" t="s">
        <v>126</v>
      </c>
      <c r="C48" s="49" t="s">
        <v>331</v>
      </c>
      <c r="D48" s="41" t="s">
        <v>343</v>
      </c>
      <c r="E48" s="50" t="s">
        <v>344</v>
      </c>
      <c r="F48" s="51" t="n">
        <v>13</v>
      </c>
      <c r="G48" s="53" t="s">
        <v>246</v>
      </c>
      <c r="H48" s="42" t="s">
        <v>334</v>
      </c>
      <c r="I48" s="42" t="s">
        <v>340</v>
      </c>
      <c r="J48" s="42" t="s">
        <v>341</v>
      </c>
      <c r="K48" s="42" t="s">
        <v>208</v>
      </c>
    </row>
    <row r="49" customFormat="false" ht="19.5" hidden="false" customHeight="true" outlineLevel="0" collapsed="false">
      <c r="A49" s="54" t="s">
        <v>345</v>
      </c>
      <c r="B49" s="54"/>
      <c r="C49" s="54"/>
      <c r="D49" s="54"/>
      <c r="E49" s="54"/>
      <c r="F49" s="55" t="n">
        <f aca="false">SUM(F19:F48)</f>
        <v>175</v>
      </c>
      <c r="G49" s="56" t="s">
        <v>346</v>
      </c>
      <c r="H49" s="56"/>
      <c r="I49" s="56"/>
      <c r="J49" s="56" t="str">
        <f aca="false">COUNTIF(G19:G48,"Alta")&amp;" Alta  /  "&amp;COUNTIF(G19:G48,"Media")&amp;" Media  /  "&amp;COUNTIF(G19:G48,"Baja")&amp;" Baja"</f>
        <v>17 Alta  /  10 Media  /  3 Baja</v>
      </c>
      <c r="K49" s="56"/>
    </row>
    <row r="50" customFormat="false" ht="7.5" hidden="false" customHeight="true" outlineLevel="0" collapsed="false"/>
    <row r="51" customFormat="false" ht="18" hidden="false" customHeight="true" outlineLevel="0" collapsed="false">
      <c r="A51" s="45" t="s">
        <v>347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</row>
    <row r="52" customFormat="false" ht="15.75" hidden="false" customHeight="true" outlineLevel="0" collapsed="false">
      <c r="A52" s="5" t="s">
        <v>2</v>
      </c>
      <c r="B52" s="5" t="s">
        <v>197</v>
      </c>
      <c r="C52" s="5" t="s">
        <v>348</v>
      </c>
      <c r="D52" s="5" t="s">
        <v>349</v>
      </c>
      <c r="E52" s="5" t="s">
        <v>350</v>
      </c>
      <c r="F52" s="5" t="s">
        <v>195</v>
      </c>
      <c r="G52" s="5" t="s">
        <v>351</v>
      </c>
      <c r="H52" s="5" t="s">
        <v>352</v>
      </c>
      <c r="I52" s="5" t="s">
        <v>353</v>
      </c>
      <c r="J52" s="5" t="s">
        <v>198</v>
      </c>
      <c r="K52" s="5" t="s">
        <v>354</v>
      </c>
    </row>
    <row r="53" customFormat="false" ht="21.75" hidden="false" customHeight="true" outlineLevel="0" collapsed="false">
      <c r="A53" s="57" t="s">
        <v>355</v>
      </c>
      <c r="B53" s="46" t="s">
        <v>356</v>
      </c>
      <c r="C53" s="42" t="s">
        <v>357</v>
      </c>
      <c r="D53" s="41" t="s">
        <v>358</v>
      </c>
      <c r="E53" s="50" t="s">
        <v>359</v>
      </c>
      <c r="F53" s="42" t="s">
        <v>359</v>
      </c>
      <c r="G53" s="39" t="s">
        <v>359</v>
      </c>
      <c r="H53" s="42" t="s">
        <v>360</v>
      </c>
      <c r="I53" s="42" t="s">
        <v>361</v>
      </c>
      <c r="J53" s="4" t="s">
        <v>362</v>
      </c>
      <c r="K53" s="42" t="s">
        <v>359</v>
      </c>
    </row>
    <row r="54" customFormat="false" ht="21.75" hidden="false" customHeight="true" outlineLevel="0" collapsed="false">
      <c r="A54" s="57" t="s">
        <v>33</v>
      </c>
      <c r="B54" s="46" t="s">
        <v>363</v>
      </c>
      <c r="C54" s="42" t="s">
        <v>364</v>
      </c>
      <c r="D54" s="41" t="s">
        <v>365</v>
      </c>
      <c r="E54" s="50" t="s">
        <v>366</v>
      </c>
      <c r="F54" s="42" t="s">
        <v>359</v>
      </c>
      <c r="G54" s="39" t="s">
        <v>359</v>
      </c>
      <c r="H54" s="42" t="s">
        <v>367</v>
      </c>
      <c r="I54" s="42" t="s">
        <v>368</v>
      </c>
      <c r="J54" s="4" t="s">
        <v>362</v>
      </c>
      <c r="K54" s="42" t="s">
        <v>359</v>
      </c>
    </row>
    <row r="55" customFormat="false" ht="21.75" hidden="false" customHeight="true" outlineLevel="0" collapsed="false">
      <c r="A55" s="57" t="s">
        <v>46</v>
      </c>
      <c r="B55" s="46" t="s">
        <v>369</v>
      </c>
      <c r="C55" s="42" t="s">
        <v>370</v>
      </c>
      <c r="D55" s="41" t="s">
        <v>371</v>
      </c>
      <c r="E55" s="50" t="s">
        <v>366</v>
      </c>
      <c r="F55" s="42" t="s">
        <v>359</v>
      </c>
      <c r="G55" s="39" t="s">
        <v>359</v>
      </c>
      <c r="H55" s="42" t="s">
        <v>367</v>
      </c>
      <c r="I55" s="42" t="s">
        <v>372</v>
      </c>
      <c r="J55" s="4" t="s">
        <v>362</v>
      </c>
      <c r="K55" s="42" t="s">
        <v>359</v>
      </c>
    </row>
    <row r="56" customFormat="false" ht="21.75" hidden="false" customHeight="true" outlineLevel="0" collapsed="false">
      <c r="A56" s="57" t="s">
        <v>64</v>
      </c>
      <c r="B56" s="46" t="s">
        <v>373</v>
      </c>
      <c r="C56" s="42" t="s">
        <v>374</v>
      </c>
      <c r="D56" s="41" t="s">
        <v>375</v>
      </c>
      <c r="E56" s="50" t="s">
        <v>366</v>
      </c>
      <c r="F56" s="42" t="s">
        <v>359</v>
      </c>
      <c r="G56" s="39" t="s">
        <v>359</v>
      </c>
      <c r="H56" s="42" t="s">
        <v>376</v>
      </c>
      <c r="I56" s="42" t="s">
        <v>377</v>
      </c>
      <c r="J56" s="4" t="s">
        <v>362</v>
      </c>
      <c r="K56" s="42" t="s">
        <v>359</v>
      </c>
    </row>
    <row r="57" customFormat="false" ht="21.75" hidden="false" customHeight="true" outlineLevel="0" collapsed="false">
      <c r="A57" s="57" t="s">
        <v>87</v>
      </c>
      <c r="B57" s="46" t="s">
        <v>378</v>
      </c>
      <c r="C57" s="42" t="s">
        <v>379</v>
      </c>
      <c r="D57" s="41" t="s">
        <v>380</v>
      </c>
      <c r="E57" s="50" t="s">
        <v>366</v>
      </c>
      <c r="F57" s="42" t="s">
        <v>359</v>
      </c>
      <c r="G57" s="39" t="s">
        <v>359</v>
      </c>
      <c r="H57" s="42" t="s">
        <v>376</v>
      </c>
      <c r="I57" s="42" t="s">
        <v>381</v>
      </c>
      <c r="J57" s="4" t="s">
        <v>362</v>
      </c>
      <c r="K57" s="42" t="s">
        <v>359</v>
      </c>
    </row>
    <row r="58" customFormat="false" ht="21.75" hidden="false" customHeight="true" outlineLevel="0" collapsed="false">
      <c r="A58" s="57" t="s">
        <v>103</v>
      </c>
      <c r="B58" s="46" t="s">
        <v>382</v>
      </c>
      <c r="C58" s="42" t="s">
        <v>383</v>
      </c>
      <c r="D58" s="41" t="s">
        <v>384</v>
      </c>
      <c r="E58" s="50" t="s">
        <v>366</v>
      </c>
      <c r="F58" s="42" t="s">
        <v>359</v>
      </c>
      <c r="G58" s="39" t="s">
        <v>359</v>
      </c>
      <c r="H58" s="42" t="s">
        <v>376</v>
      </c>
      <c r="I58" s="42" t="s">
        <v>385</v>
      </c>
      <c r="J58" s="4" t="s">
        <v>362</v>
      </c>
      <c r="K58" s="42" t="s">
        <v>359</v>
      </c>
    </row>
    <row r="59" customFormat="false" ht="21.75" hidden="false" customHeight="true" outlineLevel="0" collapsed="false">
      <c r="A59" s="57" t="s">
        <v>113</v>
      </c>
      <c r="B59" s="46" t="s">
        <v>386</v>
      </c>
      <c r="C59" s="42" t="s">
        <v>387</v>
      </c>
      <c r="D59" s="41" t="s">
        <v>388</v>
      </c>
      <c r="E59" s="50" t="s">
        <v>366</v>
      </c>
      <c r="F59" s="42" t="s">
        <v>359</v>
      </c>
      <c r="G59" s="39" t="s">
        <v>359</v>
      </c>
      <c r="H59" s="42" t="s">
        <v>389</v>
      </c>
      <c r="I59" s="42" t="s">
        <v>390</v>
      </c>
      <c r="J59" s="58" t="s">
        <v>391</v>
      </c>
      <c r="K59" s="42" t="s">
        <v>359</v>
      </c>
    </row>
    <row r="60" customFormat="false" ht="21.75" hidden="false" customHeight="true" outlineLevel="0" collapsed="false">
      <c r="A60" s="57" t="s">
        <v>129</v>
      </c>
      <c r="B60" s="46" t="s">
        <v>205</v>
      </c>
      <c r="C60" s="42" t="s">
        <v>392</v>
      </c>
      <c r="D60" s="41" t="s">
        <v>393</v>
      </c>
      <c r="E60" s="50" t="s">
        <v>394</v>
      </c>
      <c r="F60" s="11" t="n">
        <v>13</v>
      </c>
      <c r="G60" s="39" t="n">
        <v>13</v>
      </c>
      <c r="H60" s="42" t="s">
        <v>395</v>
      </c>
      <c r="I60" s="42" t="s">
        <v>396</v>
      </c>
      <c r="J60" s="32" t="s">
        <v>208</v>
      </c>
      <c r="K60" s="11" t="s">
        <v>397</v>
      </c>
    </row>
    <row r="61" customFormat="false" ht="21.75" hidden="false" customHeight="true" outlineLevel="0" collapsed="false">
      <c r="A61" s="57" t="s">
        <v>398</v>
      </c>
      <c r="B61" s="46" t="s">
        <v>217</v>
      </c>
      <c r="C61" s="42" t="s">
        <v>399</v>
      </c>
      <c r="D61" s="41" t="s">
        <v>400</v>
      </c>
      <c r="E61" s="50" t="s">
        <v>401</v>
      </c>
      <c r="F61" s="11" t="n">
        <v>13</v>
      </c>
      <c r="G61" s="39" t="n">
        <v>26</v>
      </c>
      <c r="H61" s="42" t="s">
        <v>395</v>
      </c>
      <c r="I61" s="42" t="s">
        <v>396</v>
      </c>
      <c r="J61" s="32" t="s">
        <v>208</v>
      </c>
      <c r="K61" s="11" t="s">
        <v>397</v>
      </c>
    </row>
    <row r="62" customFormat="false" ht="21.75" hidden="false" customHeight="true" outlineLevel="0" collapsed="false">
      <c r="A62" s="57" t="s">
        <v>402</v>
      </c>
      <c r="B62" s="46" t="s">
        <v>228</v>
      </c>
      <c r="C62" s="42" t="s">
        <v>403</v>
      </c>
      <c r="D62" s="41" t="s">
        <v>404</v>
      </c>
      <c r="E62" s="50" t="s">
        <v>405</v>
      </c>
      <c r="F62" s="11" t="n">
        <v>16</v>
      </c>
      <c r="G62" s="39" t="n">
        <v>42</v>
      </c>
      <c r="H62" s="42" t="s">
        <v>395</v>
      </c>
      <c r="I62" s="42" t="s">
        <v>396</v>
      </c>
      <c r="J62" s="32" t="s">
        <v>208</v>
      </c>
      <c r="K62" s="11" t="s">
        <v>406</v>
      </c>
    </row>
    <row r="63" customFormat="false" ht="21.75" hidden="false" customHeight="true" outlineLevel="0" collapsed="false">
      <c r="A63" s="57" t="s">
        <v>407</v>
      </c>
      <c r="B63" s="46" t="s">
        <v>247</v>
      </c>
      <c r="C63" s="42" t="s">
        <v>408</v>
      </c>
      <c r="D63" s="41" t="s">
        <v>409</v>
      </c>
      <c r="E63" s="50" t="s">
        <v>410</v>
      </c>
      <c r="F63" s="11" t="n">
        <v>19</v>
      </c>
      <c r="G63" s="39" t="n">
        <v>61</v>
      </c>
      <c r="H63" s="42" t="s">
        <v>411</v>
      </c>
      <c r="I63" s="42" t="s">
        <v>412</v>
      </c>
      <c r="J63" s="32" t="s">
        <v>208</v>
      </c>
      <c r="K63" s="11" t="s">
        <v>413</v>
      </c>
    </row>
    <row r="64" customFormat="false" ht="21.75" hidden="false" customHeight="true" outlineLevel="0" collapsed="false">
      <c r="A64" s="57" t="s">
        <v>414</v>
      </c>
      <c r="B64" s="46" t="s">
        <v>274</v>
      </c>
      <c r="C64" s="42" t="s">
        <v>415</v>
      </c>
      <c r="D64" s="41" t="s">
        <v>416</v>
      </c>
      <c r="E64" s="50" t="s">
        <v>417</v>
      </c>
      <c r="F64" s="11" t="n">
        <v>23</v>
      </c>
      <c r="G64" s="39" t="n">
        <v>84</v>
      </c>
      <c r="H64" s="42" t="s">
        <v>411</v>
      </c>
      <c r="I64" s="42" t="s">
        <v>412</v>
      </c>
      <c r="J64" s="32" t="s">
        <v>208</v>
      </c>
      <c r="K64" s="11" t="s">
        <v>418</v>
      </c>
    </row>
    <row r="65" customFormat="false" ht="21.75" hidden="false" customHeight="true" outlineLevel="0" collapsed="false">
      <c r="A65" s="57" t="s">
        <v>419</v>
      </c>
      <c r="B65" s="46" t="s">
        <v>290</v>
      </c>
      <c r="C65" s="42" t="s">
        <v>420</v>
      </c>
      <c r="D65" s="41" t="s">
        <v>421</v>
      </c>
      <c r="E65" s="50" t="s">
        <v>422</v>
      </c>
      <c r="F65" s="11" t="n">
        <v>34</v>
      </c>
      <c r="G65" s="39" t="n">
        <v>118</v>
      </c>
      <c r="H65" s="42" t="s">
        <v>423</v>
      </c>
      <c r="I65" s="42" t="s">
        <v>424</v>
      </c>
      <c r="J65" s="32" t="s">
        <v>208</v>
      </c>
      <c r="K65" s="11" t="s">
        <v>425</v>
      </c>
    </row>
    <row r="66" customFormat="false" ht="21.75" hidden="false" customHeight="true" outlineLevel="0" collapsed="false">
      <c r="A66" s="57" t="s">
        <v>397</v>
      </c>
      <c r="B66" s="46" t="s">
        <v>312</v>
      </c>
      <c r="C66" s="42" t="s">
        <v>426</v>
      </c>
      <c r="D66" s="41" t="s">
        <v>427</v>
      </c>
      <c r="E66" s="50" t="s">
        <v>428</v>
      </c>
      <c r="F66" s="11" t="n">
        <v>31</v>
      </c>
      <c r="G66" s="39" t="n">
        <v>149</v>
      </c>
      <c r="H66" s="42" t="s">
        <v>423</v>
      </c>
      <c r="I66" s="42" t="s">
        <v>126</v>
      </c>
      <c r="J66" s="32" t="s">
        <v>208</v>
      </c>
      <c r="K66" s="11" t="s">
        <v>429</v>
      </c>
    </row>
    <row r="67" customFormat="false" ht="21.75" hidden="false" customHeight="true" outlineLevel="0" collapsed="false">
      <c r="A67" s="57" t="s">
        <v>430</v>
      </c>
      <c r="B67" s="46" t="s">
        <v>334</v>
      </c>
      <c r="C67" s="42" t="s">
        <v>431</v>
      </c>
      <c r="D67" s="41" t="s">
        <v>432</v>
      </c>
      <c r="E67" s="50" t="s">
        <v>433</v>
      </c>
      <c r="F67" s="11" t="n">
        <v>26</v>
      </c>
      <c r="G67" s="39" t="n">
        <v>175</v>
      </c>
      <c r="H67" s="42" t="s">
        <v>434</v>
      </c>
      <c r="I67" s="42" t="s">
        <v>126</v>
      </c>
      <c r="J67" s="32" t="s">
        <v>208</v>
      </c>
      <c r="K67" s="11" t="s">
        <v>435</v>
      </c>
    </row>
    <row r="68" customFormat="false" ht="21.75" hidden="false" customHeight="true" outlineLevel="0" collapsed="false">
      <c r="A68" s="57" t="s">
        <v>436</v>
      </c>
      <c r="B68" s="46" t="s">
        <v>437</v>
      </c>
      <c r="C68" s="42" t="s">
        <v>438</v>
      </c>
      <c r="D68" s="41" t="s">
        <v>439</v>
      </c>
      <c r="E68" s="50" t="s">
        <v>440</v>
      </c>
      <c r="F68" s="42" t="s">
        <v>359</v>
      </c>
      <c r="G68" s="39" t="n">
        <v>175</v>
      </c>
      <c r="H68" s="42" t="s">
        <v>441</v>
      </c>
      <c r="I68" s="42" t="s">
        <v>442</v>
      </c>
      <c r="J68" s="32" t="s">
        <v>208</v>
      </c>
      <c r="K68" s="42" t="s">
        <v>359</v>
      </c>
    </row>
    <row r="69" customFormat="false" ht="19.5" hidden="false" customHeight="true" outlineLevel="0" collapsed="false">
      <c r="A69" s="59" t="s">
        <v>443</v>
      </c>
      <c r="B69" s="59"/>
      <c r="C69" s="59"/>
      <c r="D69" s="59"/>
      <c r="E69" s="59"/>
      <c r="F69" s="55" t="n">
        <v>175</v>
      </c>
      <c r="G69" s="60" t="s">
        <v>444</v>
      </c>
      <c r="H69" s="60"/>
      <c r="I69" s="60"/>
      <c r="J69" s="60"/>
      <c r="K69" s="60"/>
    </row>
    <row r="71" customFormat="false" ht="18" hidden="false" customHeight="true" outlineLevel="0" collapsed="false">
      <c r="A71" s="45" t="s">
        <v>445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 customFormat="false" ht="18" hidden="false" customHeight="true" outlineLevel="0" collapsed="false">
      <c r="A72" s="48" t="s">
        <v>33</v>
      </c>
      <c r="B72" s="46" t="s">
        <v>446</v>
      </c>
      <c r="C72" s="41" t="s">
        <v>447</v>
      </c>
      <c r="D72" s="41"/>
      <c r="E72" s="41"/>
      <c r="F72" s="41"/>
      <c r="G72" s="41"/>
      <c r="H72" s="41"/>
      <c r="I72" s="41"/>
      <c r="J72" s="41"/>
      <c r="K72" s="41"/>
    </row>
    <row r="73" customFormat="false" ht="18" hidden="false" customHeight="true" outlineLevel="0" collapsed="false">
      <c r="A73" s="48" t="s">
        <v>46</v>
      </c>
      <c r="B73" s="46" t="s">
        <v>448</v>
      </c>
      <c r="C73" s="41" t="s">
        <v>449</v>
      </c>
      <c r="D73" s="41"/>
      <c r="E73" s="41"/>
      <c r="F73" s="41"/>
      <c r="G73" s="41"/>
      <c r="H73" s="41"/>
      <c r="I73" s="41"/>
      <c r="J73" s="41"/>
      <c r="K73" s="41"/>
    </row>
    <row r="74" customFormat="false" ht="18" hidden="false" customHeight="true" outlineLevel="0" collapsed="false">
      <c r="A74" s="48" t="s">
        <v>64</v>
      </c>
      <c r="B74" s="46" t="s">
        <v>450</v>
      </c>
      <c r="C74" s="41" t="s">
        <v>451</v>
      </c>
      <c r="D74" s="41"/>
      <c r="E74" s="41"/>
      <c r="F74" s="41"/>
      <c r="G74" s="41"/>
      <c r="H74" s="41"/>
      <c r="I74" s="41"/>
      <c r="J74" s="41"/>
      <c r="K74" s="41"/>
    </row>
    <row r="75" customFormat="false" ht="18" hidden="false" customHeight="true" outlineLevel="0" collapsed="false">
      <c r="A75" s="48" t="s">
        <v>87</v>
      </c>
      <c r="B75" s="46" t="s">
        <v>452</v>
      </c>
      <c r="C75" s="41" t="s">
        <v>453</v>
      </c>
      <c r="D75" s="41"/>
      <c r="E75" s="41"/>
      <c r="F75" s="41"/>
      <c r="G75" s="41"/>
      <c r="H75" s="41"/>
      <c r="I75" s="41"/>
      <c r="J75" s="41"/>
      <c r="K75" s="41"/>
    </row>
    <row r="76" customFormat="false" ht="18" hidden="false" customHeight="true" outlineLevel="0" collapsed="false">
      <c r="A76" s="48" t="s">
        <v>103</v>
      </c>
      <c r="B76" s="46" t="s">
        <v>454</v>
      </c>
      <c r="C76" s="41" t="s">
        <v>455</v>
      </c>
      <c r="D76" s="41"/>
      <c r="E76" s="41"/>
      <c r="F76" s="41"/>
      <c r="G76" s="41"/>
      <c r="H76" s="41"/>
      <c r="I76" s="41"/>
      <c r="J76" s="41"/>
      <c r="K76" s="41"/>
    </row>
    <row r="77" customFormat="false" ht="18" hidden="false" customHeight="true" outlineLevel="0" collapsed="false">
      <c r="A77" s="48" t="s">
        <v>113</v>
      </c>
      <c r="B77" s="46" t="s">
        <v>456</v>
      </c>
      <c r="C77" s="41" t="s">
        <v>457</v>
      </c>
      <c r="D77" s="41"/>
      <c r="E77" s="41"/>
      <c r="F77" s="41"/>
      <c r="G77" s="41"/>
      <c r="H77" s="41"/>
      <c r="I77" s="41"/>
      <c r="J77" s="41"/>
      <c r="K77" s="41"/>
    </row>
    <row r="78" customFormat="false" ht="18" hidden="false" customHeight="true" outlineLevel="0" collapsed="false">
      <c r="A78" s="48" t="s">
        <v>129</v>
      </c>
      <c r="B78" s="46" t="s">
        <v>458</v>
      </c>
      <c r="C78" s="41" t="s">
        <v>459</v>
      </c>
      <c r="D78" s="41"/>
      <c r="E78" s="41"/>
      <c r="F78" s="41"/>
      <c r="G78" s="41"/>
      <c r="H78" s="41"/>
      <c r="I78" s="41"/>
      <c r="J78" s="41"/>
      <c r="K78" s="41"/>
    </row>
    <row r="79" customFormat="false" ht="18" hidden="false" customHeight="true" outlineLevel="0" collapsed="false">
      <c r="A79" s="48" t="s">
        <v>398</v>
      </c>
      <c r="B79" s="46" t="s">
        <v>460</v>
      </c>
      <c r="C79" s="41" t="s">
        <v>461</v>
      </c>
      <c r="D79" s="41"/>
      <c r="E79" s="41"/>
      <c r="F79" s="41"/>
      <c r="G79" s="41"/>
      <c r="H79" s="41"/>
      <c r="I79" s="41"/>
      <c r="J79" s="41"/>
      <c r="K79" s="41"/>
    </row>
  </sheetData>
  <mergeCells count="43">
    <mergeCell ref="A1:K1"/>
    <mergeCell ref="A2:K2"/>
    <mergeCell ref="A4:B4"/>
    <mergeCell ref="C4:E4"/>
    <mergeCell ref="F4:K4"/>
    <mergeCell ref="C5:E5"/>
    <mergeCell ref="F5:K5"/>
    <mergeCell ref="C6:E6"/>
    <mergeCell ref="F6:K6"/>
    <mergeCell ref="C7:E7"/>
    <mergeCell ref="F7:K7"/>
    <mergeCell ref="A9:K9"/>
    <mergeCell ref="C11:D11"/>
    <mergeCell ref="E11:F11"/>
    <mergeCell ref="G11:K11"/>
    <mergeCell ref="C12:D12"/>
    <mergeCell ref="E12:F12"/>
    <mergeCell ref="G12:K12"/>
    <mergeCell ref="C13:D13"/>
    <mergeCell ref="E13:F13"/>
    <mergeCell ref="G13:K13"/>
    <mergeCell ref="C14:D14"/>
    <mergeCell ref="E14:F14"/>
    <mergeCell ref="G14:K14"/>
    <mergeCell ref="C15:D15"/>
    <mergeCell ref="E15:F15"/>
    <mergeCell ref="G15:K15"/>
    <mergeCell ref="A17:K17"/>
    <mergeCell ref="A49:E49"/>
    <mergeCell ref="G49:I49"/>
    <mergeCell ref="J49:K49"/>
    <mergeCell ref="A51:K51"/>
    <mergeCell ref="A69:E69"/>
    <mergeCell ref="G69:K69"/>
    <mergeCell ref="A71:K71"/>
    <mergeCell ref="C72:K72"/>
    <mergeCell ref="C73:K73"/>
    <mergeCell ref="C74:K74"/>
    <mergeCell ref="C75:K75"/>
    <mergeCell ref="C76:K76"/>
    <mergeCell ref="C77:K77"/>
    <mergeCell ref="C78:K78"/>
    <mergeCell ref="C79:K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6"/>
  </cols>
  <sheetData>
    <row r="1" customFormat="false" ht="25.5" hidden="false" customHeight="true" outlineLevel="0" collapsed="false">
      <c r="A1" s="28" t="s">
        <v>462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5.75" hidden="false" customHeight="true" outlineLevel="0" collapsed="false">
      <c r="A2" s="5" t="s">
        <v>25</v>
      </c>
      <c r="B2" s="5" t="s">
        <v>463</v>
      </c>
      <c r="C2" s="5" t="s">
        <v>464</v>
      </c>
      <c r="D2" s="5" t="s">
        <v>465</v>
      </c>
      <c r="E2" s="5" t="s">
        <v>466</v>
      </c>
      <c r="F2" s="5" t="s">
        <v>467</v>
      </c>
      <c r="G2" s="5" t="s">
        <v>468</v>
      </c>
      <c r="H2" s="5" t="s">
        <v>469</v>
      </c>
      <c r="I2" s="5" t="s">
        <v>470</v>
      </c>
      <c r="J2" s="5" t="s">
        <v>471</v>
      </c>
    </row>
    <row r="3" customFormat="false" ht="18" hidden="false" customHeight="true" outlineLevel="0" collapsed="false">
      <c r="A3" s="48" t="n">
        <v>1</v>
      </c>
      <c r="B3" s="12" t="s">
        <v>159</v>
      </c>
      <c r="C3" s="61" t="n">
        <v>1</v>
      </c>
      <c r="D3" s="15" t="n">
        <v>5500000</v>
      </c>
      <c r="E3" s="61" t="n">
        <v>30</v>
      </c>
      <c r="F3" s="15" t="n">
        <f aca="false">D3/E3</f>
        <v>183333.333333333</v>
      </c>
      <c r="G3" s="61" t="n">
        <v>8</v>
      </c>
      <c r="H3" s="15" t="n">
        <f aca="false">F3/G3</f>
        <v>22916.6666666667</v>
      </c>
      <c r="I3" s="61" t="n">
        <v>160</v>
      </c>
      <c r="J3" s="24" t="n">
        <f aca="false">ROUND(F3*I3*C3,0)</f>
        <v>29333333</v>
      </c>
    </row>
    <row r="4" customFormat="false" ht="18" hidden="false" customHeight="true" outlineLevel="0" collapsed="false">
      <c r="A4" s="62" t="n">
        <v>2</v>
      </c>
      <c r="B4" s="7" t="s">
        <v>156</v>
      </c>
      <c r="C4" s="63" t="n">
        <v>1</v>
      </c>
      <c r="D4" s="10" t="n">
        <v>4800000</v>
      </c>
      <c r="E4" s="63" t="n">
        <v>30</v>
      </c>
      <c r="F4" s="10" t="n">
        <f aca="false">D4/E4</f>
        <v>160000</v>
      </c>
      <c r="G4" s="63" t="n">
        <v>8</v>
      </c>
      <c r="H4" s="10" t="n">
        <f aca="false">F4/G4</f>
        <v>20000</v>
      </c>
      <c r="I4" s="63" t="n">
        <v>280</v>
      </c>
      <c r="J4" s="21" t="n">
        <f aca="false">ROUND(F4*I4*C4,0)</f>
        <v>44800000</v>
      </c>
    </row>
    <row r="5" customFormat="false" ht="18" hidden="false" customHeight="true" outlineLevel="0" collapsed="false">
      <c r="A5" s="48" t="n">
        <v>3</v>
      </c>
      <c r="B5" s="12" t="s">
        <v>38</v>
      </c>
      <c r="C5" s="61" t="n">
        <v>2</v>
      </c>
      <c r="D5" s="15" t="n">
        <v>3000000</v>
      </c>
      <c r="E5" s="61" t="n">
        <v>30</v>
      </c>
      <c r="F5" s="15" t="n">
        <f aca="false">D5/E5</f>
        <v>100000</v>
      </c>
      <c r="G5" s="61" t="n">
        <v>6</v>
      </c>
      <c r="H5" s="15" t="n">
        <f aca="false">F5/G5</f>
        <v>16666.6666666667</v>
      </c>
      <c r="I5" s="61" t="n">
        <v>45</v>
      </c>
      <c r="J5" s="24" t="n">
        <f aca="false">ROUND(F5*I5*C5,0)</f>
        <v>9000000</v>
      </c>
    </row>
    <row r="6" customFormat="false" ht="18" hidden="false" customHeight="true" outlineLevel="0" collapsed="false">
      <c r="A6" s="62" t="n">
        <v>4</v>
      </c>
      <c r="B6" s="7" t="s">
        <v>472</v>
      </c>
      <c r="C6" s="63" t="n">
        <v>1</v>
      </c>
      <c r="D6" s="10" t="n">
        <v>4000000</v>
      </c>
      <c r="E6" s="63" t="n">
        <v>30</v>
      </c>
      <c r="F6" s="10" t="n">
        <f aca="false">D6/E6</f>
        <v>133333.333333333</v>
      </c>
      <c r="G6" s="63" t="n">
        <v>5</v>
      </c>
      <c r="H6" s="10" t="n">
        <f aca="false">F6/G6</f>
        <v>26666.6666666667</v>
      </c>
      <c r="I6" s="63" t="n">
        <v>80</v>
      </c>
      <c r="J6" s="21" t="n">
        <f aca="false">ROUND(F6*I6*C6,0)</f>
        <v>10666667</v>
      </c>
    </row>
    <row r="7" customFormat="false" ht="18" hidden="false" customHeight="true" outlineLevel="0" collapsed="false">
      <c r="A7" s="48" t="n">
        <v>5</v>
      </c>
      <c r="B7" s="12" t="s">
        <v>473</v>
      </c>
      <c r="C7" s="61" t="n">
        <v>1</v>
      </c>
      <c r="D7" s="15" t="n">
        <v>3800000</v>
      </c>
      <c r="E7" s="61" t="n">
        <v>30</v>
      </c>
      <c r="F7" s="15" t="n">
        <f aca="false">D7/E7</f>
        <v>126666.666666667</v>
      </c>
      <c r="G7" s="61" t="n">
        <v>8</v>
      </c>
      <c r="H7" s="15" t="n">
        <f aca="false">F7/G7</f>
        <v>15833.3333333333</v>
      </c>
      <c r="I7" s="61" t="n">
        <v>200</v>
      </c>
      <c r="J7" s="24" t="n">
        <f aca="false">ROUND(F7*I7*C7,0)</f>
        <v>25333333</v>
      </c>
    </row>
    <row r="8" customFormat="false" ht="18" hidden="false" customHeight="true" outlineLevel="0" collapsed="false">
      <c r="A8" s="62" t="n">
        <v>6</v>
      </c>
      <c r="B8" s="7" t="s">
        <v>474</v>
      </c>
      <c r="C8" s="63" t="n">
        <v>3</v>
      </c>
      <c r="D8" s="10" t="n">
        <v>4200000</v>
      </c>
      <c r="E8" s="63" t="n">
        <v>30</v>
      </c>
      <c r="F8" s="10" t="n">
        <f aca="false">D8/E8</f>
        <v>140000</v>
      </c>
      <c r="G8" s="63" t="n">
        <v>8</v>
      </c>
      <c r="H8" s="10" t="n">
        <f aca="false">F8/G8</f>
        <v>17500</v>
      </c>
      <c r="I8" s="63" t="n">
        <v>90</v>
      </c>
      <c r="J8" s="21" t="n">
        <f aca="false">ROUND(F8*I8*C8,0)</f>
        <v>37800000</v>
      </c>
    </row>
    <row r="9" customFormat="false" ht="18" hidden="false" customHeight="true" outlineLevel="0" collapsed="false">
      <c r="A9" s="48" t="n">
        <v>7</v>
      </c>
      <c r="B9" s="12" t="s">
        <v>134</v>
      </c>
      <c r="C9" s="61" t="n">
        <v>1</v>
      </c>
      <c r="D9" s="15" t="n">
        <v>3200000</v>
      </c>
      <c r="E9" s="61" t="n">
        <v>30</v>
      </c>
      <c r="F9" s="15" t="n">
        <f aca="false">D9/E9</f>
        <v>106666.666666667</v>
      </c>
      <c r="G9" s="61" t="n">
        <v>8</v>
      </c>
      <c r="H9" s="15" t="n">
        <f aca="false">F9/G9</f>
        <v>13333.3333333333</v>
      </c>
      <c r="I9" s="61" t="n">
        <v>45</v>
      </c>
      <c r="J9" s="24" t="n">
        <f aca="false">ROUND(F9*I9*C9,0)</f>
        <v>4800000</v>
      </c>
    </row>
    <row r="10" customFormat="false" ht="19.5" hidden="false" customHeight="true" outlineLevel="0" collapsed="false">
      <c r="A10" s="64" t="s">
        <v>475</v>
      </c>
      <c r="B10" s="64"/>
      <c r="C10" s="64"/>
      <c r="D10" s="64"/>
      <c r="E10" s="64"/>
      <c r="F10" s="64"/>
      <c r="G10" s="64"/>
      <c r="H10" s="64"/>
      <c r="I10" s="65"/>
      <c r="J10" s="66" t="n">
        <f aca="false">SUM(J3:J9)</f>
        <v>161733333</v>
      </c>
    </row>
    <row r="11" customFormat="false" ht="6" hidden="false" customHeight="true" outlineLevel="0" collapsed="false"/>
    <row r="12" customFormat="false" ht="18" hidden="false" customHeight="true" outlineLevel="0" collapsed="false">
      <c r="A12" s="67" t="s">
        <v>476</v>
      </c>
      <c r="B12" s="67"/>
      <c r="C12" s="67"/>
      <c r="D12" s="67"/>
      <c r="E12" s="67"/>
      <c r="F12" s="67"/>
      <c r="G12" s="67"/>
      <c r="H12" s="67"/>
      <c r="I12" s="67"/>
      <c r="J12" s="67"/>
    </row>
    <row r="13" customFormat="false" ht="12" hidden="false" customHeight="true" outlineLevel="0" collapsed="false"/>
    <row r="14" customFormat="false" ht="13.5" hidden="false" customHeight="true" outlineLevel="0" collapsed="false">
      <c r="A14" s="68" t="s">
        <v>477</v>
      </c>
      <c r="B14" s="68"/>
      <c r="C14" s="68"/>
      <c r="D14" s="68"/>
      <c r="E14" s="68"/>
      <c r="F14" s="68"/>
      <c r="G14" s="68"/>
      <c r="H14" s="68"/>
      <c r="I14" s="68"/>
      <c r="J14" s="68"/>
    </row>
    <row r="15" customFormat="false" ht="13.5" hidden="false" customHeight="true" outlineLevel="0" collapsed="false">
      <c r="A15" s="44" t="s">
        <v>478</v>
      </c>
      <c r="B15" s="44"/>
      <c r="C15" s="44"/>
      <c r="D15" s="44"/>
      <c r="E15" s="44"/>
      <c r="F15" s="44"/>
      <c r="G15" s="44"/>
      <c r="H15" s="44"/>
      <c r="I15" s="44"/>
      <c r="J15" s="44"/>
    </row>
    <row r="16" customFormat="false" ht="13.5" hidden="false" customHeight="true" outlineLevel="0" collapsed="false">
      <c r="A16" s="44" t="s">
        <v>479</v>
      </c>
      <c r="B16" s="44"/>
      <c r="C16" s="44"/>
      <c r="D16" s="44"/>
      <c r="E16" s="44"/>
      <c r="F16" s="44"/>
      <c r="G16" s="44"/>
      <c r="H16" s="44"/>
      <c r="I16" s="44"/>
      <c r="J16" s="44"/>
    </row>
    <row r="17" customFormat="false" ht="13.5" hidden="false" customHeight="true" outlineLevel="0" collapsed="false">
      <c r="A17" s="44" t="s">
        <v>480</v>
      </c>
      <c r="B17" s="44"/>
      <c r="C17" s="44"/>
      <c r="D17" s="44"/>
      <c r="E17" s="44"/>
      <c r="F17" s="44"/>
      <c r="G17" s="44"/>
      <c r="H17" s="44"/>
      <c r="I17" s="44"/>
      <c r="J17" s="44"/>
    </row>
    <row r="18" customFormat="false" ht="13.5" hidden="false" customHeight="true" outlineLevel="0" collapsed="false">
      <c r="A18" s="44" t="s">
        <v>481</v>
      </c>
      <c r="B18" s="44"/>
      <c r="C18" s="44"/>
      <c r="D18" s="44"/>
      <c r="E18" s="44"/>
      <c r="F18" s="44"/>
      <c r="G18" s="44"/>
      <c r="H18" s="44"/>
      <c r="I18" s="44"/>
      <c r="J18" s="44"/>
    </row>
    <row r="19" customFormat="false" ht="13.5" hidden="false" customHeight="true" outlineLevel="0" collapsed="false">
      <c r="A19" s="44" t="s">
        <v>482</v>
      </c>
      <c r="B19" s="44"/>
      <c r="C19" s="44"/>
      <c r="D19" s="44"/>
      <c r="E19" s="44"/>
      <c r="F19" s="44"/>
      <c r="G19" s="44"/>
      <c r="H19" s="44"/>
      <c r="I19" s="44"/>
      <c r="J19" s="44"/>
    </row>
  </sheetData>
  <mergeCells count="9">
    <mergeCell ref="A1:J1"/>
    <mergeCell ref="A10:H10"/>
    <mergeCell ref="A12:J12"/>
    <mergeCell ref="A14:J14"/>
    <mergeCell ref="A15:J15"/>
    <mergeCell ref="A16:J16"/>
    <mergeCell ref="A17:J17"/>
    <mergeCell ref="A18:J18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3"/>
  </cols>
  <sheetData>
    <row r="1" customFormat="false" ht="25.5" hidden="false" customHeight="true" outlineLevel="0" collapsed="false">
      <c r="A1" s="69" t="s">
        <v>483</v>
      </c>
      <c r="B1" s="69"/>
      <c r="C1" s="69"/>
      <c r="D1" s="69"/>
      <c r="E1" s="69"/>
      <c r="F1" s="69"/>
      <c r="G1" s="69"/>
    </row>
    <row r="2" customFormat="false" ht="15.75" hidden="false" customHeight="true" outlineLevel="0" collapsed="false">
      <c r="A2" s="70" t="s">
        <v>484</v>
      </c>
      <c r="B2" s="70"/>
      <c r="C2" s="70"/>
      <c r="D2" s="70"/>
      <c r="E2" s="70"/>
      <c r="F2" s="70"/>
      <c r="G2" s="70"/>
    </row>
    <row r="3" customFormat="false" ht="7.5" hidden="false" customHeight="true" outlineLevel="0" collapsed="false"/>
    <row r="4" customFormat="false" ht="24" hidden="false" customHeight="true" outlineLevel="0" collapsed="false">
      <c r="A4" s="71" t="s">
        <v>485</v>
      </c>
      <c r="B4" s="71"/>
      <c r="C4" s="71"/>
      <c r="D4" s="71"/>
      <c r="E4" s="71"/>
      <c r="F4" s="71"/>
      <c r="G4" s="71"/>
    </row>
    <row r="5" customFormat="false" ht="15.75" hidden="false" customHeight="true" outlineLevel="0" collapsed="false">
      <c r="A5" s="47" t="s">
        <v>2</v>
      </c>
      <c r="B5" s="47" t="s">
        <v>486</v>
      </c>
      <c r="C5" s="47" t="s">
        <v>487</v>
      </c>
      <c r="D5" s="47" t="s">
        <v>488</v>
      </c>
      <c r="E5" s="47" t="s">
        <v>6</v>
      </c>
      <c r="F5" s="47" t="s">
        <v>489</v>
      </c>
      <c r="G5" s="47" t="s">
        <v>490</v>
      </c>
    </row>
    <row r="6" customFormat="false" ht="21.75" hidden="false" customHeight="true" outlineLevel="0" collapsed="false">
      <c r="A6" s="62" t="s">
        <v>33</v>
      </c>
      <c r="B6" s="72" t="s">
        <v>491</v>
      </c>
      <c r="C6" s="73" t="s">
        <v>492</v>
      </c>
      <c r="D6" s="74" t="s">
        <v>493</v>
      </c>
      <c r="E6" s="21" t="n">
        <v>3840000</v>
      </c>
      <c r="F6" s="35" t="s">
        <v>494</v>
      </c>
      <c r="G6" s="75" t="s">
        <v>495</v>
      </c>
    </row>
    <row r="7" customFormat="false" ht="21.75" hidden="false" customHeight="true" outlineLevel="0" collapsed="false">
      <c r="A7" s="48" t="s">
        <v>46</v>
      </c>
      <c r="B7" s="46" t="s">
        <v>496</v>
      </c>
      <c r="C7" s="50" t="s">
        <v>492</v>
      </c>
      <c r="D7" s="74" t="s">
        <v>493</v>
      </c>
      <c r="E7" s="24" t="n">
        <v>3840000</v>
      </c>
      <c r="F7" s="42" t="s">
        <v>494</v>
      </c>
      <c r="G7" s="76" t="s">
        <v>495</v>
      </c>
    </row>
    <row r="8" customFormat="false" ht="21.75" hidden="false" customHeight="true" outlineLevel="0" collapsed="false">
      <c r="A8" s="62" t="s">
        <v>64</v>
      </c>
      <c r="B8" s="72" t="s">
        <v>497</v>
      </c>
      <c r="C8" s="73" t="s">
        <v>492</v>
      </c>
      <c r="D8" s="74" t="s">
        <v>493</v>
      </c>
      <c r="E8" s="21" t="n">
        <v>3840000</v>
      </c>
      <c r="F8" s="35" t="s">
        <v>494</v>
      </c>
      <c r="G8" s="75" t="s">
        <v>495</v>
      </c>
    </row>
    <row r="9" customFormat="false" ht="21.75" hidden="false" customHeight="true" outlineLevel="0" collapsed="false">
      <c r="A9" s="48" t="s">
        <v>87</v>
      </c>
      <c r="B9" s="46" t="s">
        <v>498</v>
      </c>
      <c r="C9" s="50" t="s">
        <v>492</v>
      </c>
      <c r="D9" s="74" t="s">
        <v>493</v>
      </c>
      <c r="E9" s="24" t="n">
        <v>3840000</v>
      </c>
      <c r="F9" s="42" t="s">
        <v>494</v>
      </c>
      <c r="G9" s="76" t="s">
        <v>495</v>
      </c>
    </row>
    <row r="10" customFormat="false" ht="21.75" hidden="false" customHeight="true" outlineLevel="0" collapsed="false">
      <c r="A10" s="62" t="s">
        <v>103</v>
      </c>
      <c r="B10" s="72" t="s">
        <v>499</v>
      </c>
      <c r="C10" s="73" t="s">
        <v>500</v>
      </c>
      <c r="D10" s="30" t="s">
        <v>501</v>
      </c>
      <c r="E10" s="21" t="n">
        <v>4580000</v>
      </c>
      <c r="F10" s="77" t="s">
        <v>502</v>
      </c>
      <c r="G10" s="75" t="s">
        <v>503</v>
      </c>
    </row>
    <row r="11" customFormat="false" ht="19.5" hidden="false" customHeight="true" outlineLevel="0" collapsed="false">
      <c r="A11" s="54" t="s">
        <v>504</v>
      </c>
      <c r="B11" s="54"/>
      <c r="C11" s="54"/>
      <c r="D11" s="54"/>
      <c r="E11" s="78" t="n">
        <f aca="false">SUM(E6:E10)</f>
        <v>19940000</v>
      </c>
      <c r="F11" s="79" t="s">
        <v>505</v>
      </c>
      <c r="G11" s="79"/>
    </row>
    <row r="13" customFormat="false" ht="24" hidden="false" customHeight="true" outlineLevel="0" collapsed="false">
      <c r="A13" s="71" t="s">
        <v>506</v>
      </c>
      <c r="B13" s="71"/>
      <c r="C13" s="71"/>
      <c r="D13" s="71"/>
      <c r="E13" s="71"/>
      <c r="F13" s="71"/>
      <c r="G13" s="71"/>
    </row>
    <row r="14" customFormat="false" ht="15.75" hidden="false" customHeight="true" outlineLevel="0" collapsed="false">
      <c r="A14" s="47" t="s">
        <v>2</v>
      </c>
      <c r="B14" s="47" t="s">
        <v>507</v>
      </c>
      <c r="C14" s="47" t="s">
        <v>508</v>
      </c>
      <c r="D14" s="47" t="s">
        <v>509</v>
      </c>
      <c r="E14" s="47" t="s">
        <v>510</v>
      </c>
      <c r="F14" s="47" t="s">
        <v>511</v>
      </c>
      <c r="G14" s="47" t="s">
        <v>196</v>
      </c>
    </row>
    <row r="15" customFormat="false" ht="21.75" hidden="false" customHeight="true" outlineLevel="0" collapsed="false">
      <c r="A15" s="48" t="s">
        <v>33</v>
      </c>
      <c r="B15" s="46" t="s">
        <v>512</v>
      </c>
      <c r="C15" s="41" t="s">
        <v>513</v>
      </c>
      <c r="D15" s="39" t="s">
        <v>514</v>
      </c>
      <c r="E15" s="24" t="n">
        <v>680000</v>
      </c>
      <c r="F15" s="80" t="s">
        <v>515</v>
      </c>
      <c r="G15" s="77" t="s">
        <v>516</v>
      </c>
    </row>
    <row r="16" customFormat="false" ht="21.75" hidden="false" customHeight="true" outlineLevel="0" collapsed="false">
      <c r="A16" s="62" t="s">
        <v>46</v>
      </c>
      <c r="B16" s="72" t="s">
        <v>517</v>
      </c>
      <c r="C16" s="34" t="s">
        <v>518</v>
      </c>
      <c r="D16" s="32" t="s">
        <v>519</v>
      </c>
      <c r="E16" s="21" t="n">
        <v>480000</v>
      </c>
      <c r="F16" s="81" t="s">
        <v>520</v>
      </c>
      <c r="G16" s="77" t="s">
        <v>516</v>
      </c>
    </row>
    <row r="17" customFormat="false" ht="21.75" hidden="false" customHeight="true" outlineLevel="0" collapsed="false">
      <c r="A17" s="48" t="s">
        <v>64</v>
      </c>
      <c r="B17" s="46" t="s">
        <v>521</v>
      </c>
      <c r="C17" s="41" t="s">
        <v>522</v>
      </c>
      <c r="D17" s="39" t="s">
        <v>523</v>
      </c>
      <c r="E17" s="24" t="n">
        <v>360000</v>
      </c>
      <c r="F17" s="80" t="s">
        <v>524</v>
      </c>
      <c r="G17" s="77" t="s">
        <v>516</v>
      </c>
    </row>
    <row r="18" customFormat="false" ht="21.75" hidden="false" customHeight="true" outlineLevel="0" collapsed="false">
      <c r="A18" s="62" t="s">
        <v>87</v>
      </c>
      <c r="B18" s="72" t="s">
        <v>525</v>
      </c>
      <c r="C18" s="34" t="s">
        <v>526</v>
      </c>
      <c r="D18" s="32" t="s">
        <v>527</v>
      </c>
      <c r="E18" s="21" t="n">
        <v>320000</v>
      </c>
      <c r="F18" s="81" t="s">
        <v>528</v>
      </c>
      <c r="G18" s="77" t="s">
        <v>516</v>
      </c>
    </row>
    <row r="19" customFormat="false" ht="21.75" hidden="false" customHeight="true" outlineLevel="0" collapsed="false">
      <c r="A19" s="48" t="s">
        <v>103</v>
      </c>
      <c r="B19" s="46" t="s">
        <v>529</v>
      </c>
      <c r="C19" s="41" t="s">
        <v>530</v>
      </c>
      <c r="D19" s="39" t="s">
        <v>531</v>
      </c>
      <c r="E19" s="24" t="n">
        <v>240000</v>
      </c>
      <c r="F19" s="80" t="s">
        <v>532</v>
      </c>
      <c r="G19" s="77" t="s">
        <v>516</v>
      </c>
    </row>
    <row r="20" customFormat="false" ht="21.75" hidden="false" customHeight="true" outlineLevel="0" collapsed="false">
      <c r="A20" s="62" t="s">
        <v>113</v>
      </c>
      <c r="B20" s="72" t="s">
        <v>533</v>
      </c>
      <c r="C20" s="34" t="s">
        <v>534</v>
      </c>
      <c r="D20" s="32" t="s">
        <v>535</v>
      </c>
      <c r="E20" s="21" t="n">
        <v>160000</v>
      </c>
      <c r="F20" s="81" t="s">
        <v>536</v>
      </c>
      <c r="G20" s="53" t="s">
        <v>537</v>
      </c>
    </row>
    <row r="21" customFormat="false" ht="21.75" hidden="false" customHeight="true" outlineLevel="0" collapsed="false">
      <c r="A21" s="48" t="s">
        <v>129</v>
      </c>
      <c r="B21" s="46" t="s">
        <v>538</v>
      </c>
      <c r="C21" s="41" t="s">
        <v>539</v>
      </c>
      <c r="D21" s="39" t="s">
        <v>540</v>
      </c>
      <c r="E21" s="24" t="n">
        <v>660000</v>
      </c>
      <c r="F21" s="80" t="s">
        <v>541</v>
      </c>
      <c r="G21" s="77" t="s">
        <v>516</v>
      </c>
    </row>
    <row r="22" customFormat="false" ht="21.75" hidden="false" customHeight="true" outlineLevel="0" collapsed="false">
      <c r="A22" s="62" t="s">
        <v>398</v>
      </c>
      <c r="B22" s="72" t="s">
        <v>542</v>
      </c>
      <c r="C22" s="34" t="s">
        <v>543</v>
      </c>
      <c r="D22" s="32" t="s">
        <v>544</v>
      </c>
      <c r="E22" s="21" t="n">
        <v>100000</v>
      </c>
      <c r="F22" s="81" t="s">
        <v>545</v>
      </c>
      <c r="G22" s="82" t="s">
        <v>546</v>
      </c>
    </row>
    <row r="23" customFormat="false" ht="21.75" hidden="false" customHeight="true" outlineLevel="0" collapsed="false">
      <c r="A23" s="48" t="s">
        <v>402</v>
      </c>
      <c r="B23" s="46" t="s">
        <v>547</v>
      </c>
      <c r="C23" s="41" t="s">
        <v>548</v>
      </c>
      <c r="D23" s="39" t="s">
        <v>544</v>
      </c>
      <c r="E23" s="24" t="n">
        <v>50000</v>
      </c>
      <c r="F23" s="80" t="s">
        <v>549</v>
      </c>
      <c r="G23" s="82" t="s">
        <v>546</v>
      </c>
    </row>
    <row r="24" customFormat="false" ht="21.75" hidden="false" customHeight="true" outlineLevel="0" collapsed="false">
      <c r="A24" s="62" t="s">
        <v>407</v>
      </c>
      <c r="B24" s="72" t="s">
        <v>550</v>
      </c>
      <c r="C24" s="34" t="s">
        <v>551</v>
      </c>
      <c r="D24" s="32" t="s">
        <v>552</v>
      </c>
      <c r="E24" s="21" t="n">
        <v>380000</v>
      </c>
      <c r="F24" s="81" t="s">
        <v>553</v>
      </c>
      <c r="G24" s="82" t="s">
        <v>546</v>
      </c>
    </row>
    <row r="25" customFormat="false" ht="21.75" hidden="false" customHeight="true" outlineLevel="0" collapsed="false">
      <c r="A25" s="48" t="s">
        <v>414</v>
      </c>
      <c r="B25" s="46" t="s">
        <v>554</v>
      </c>
      <c r="C25" s="41" t="s">
        <v>555</v>
      </c>
      <c r="D25" s="39" t="s">
        <v>556</v>
      </c>
      <c r="E25" s="24" t="n">
        <v>230000</v>
      </c>
      <c r="F25" s="80" t="s">
        <v>557</v>
      </c>
      <c r="G25" s="53" t="s">
        <v>537</v>
      </c>
    </row>
    <row r="26" customFormat="false" ht="21.75" hidden="false" customHeight="true" outlineLevel="0" collapsed="false">
      <c r="A26" s="62" t="s">
        <v>419</v>
      </c>
      <c r="B26" s="72" t="s">
        <v>558</v>
      </c>
      <c r="C26" s="34" t="s">
        <v>559</v>
      </c>
      <c r="D26" s="32" t="s">
        <v>560</v>
      </c>
      <c r="E26" s="21" t="n">
        <v>180000</v>
      </c>
      <c r="F26" s="81" t="s">
        <v>561</v>
      </c>
      <c r="G26" s="53" t="s">
        <v>537</v>
      </c>
    </row>
    <row r="27" customFormat="false" ht="19.5" hidden="false" customHeight="true" outlineLevel="0" collapsed="false">
      <c r="A27" s="83" t="s">
        <v>562</v>
      </c>
      <c r="B27" s="83"/>
      <c r="C27" s="83"/>
      <c r="D27" s="83"/>
      <c r="E27" s="78" t="n">
        <f aca="false">SUM(E15:E26)</f>
        <v>3840000</v>
      </c>
      <c r="F27" s="84"/>
      <c r="G27" s="84"/>
    </row>
    <row r="29" customFormat="false" ht="24" hidden="false" customHeight="true" outlineLevel="0" collapsed="false">
      <c r="A29" s="85" t="s">
        <v>563</v>
      </c>
      <c r="B29" s="85"/>
      <c r="C29" s="85"/>
      <c r="D29" s="85"/>
      <c r="E29" s="85"/>
      <c r="F29" s="85"/>
      <c r="G29" s="85"/>
    </row>
    <row r="30" customFormat="false" ht="15.75" hidden="false" customHeight="true" outlineLevel="0" collapsed="false">
      <c r="A30" s="47" t="s">
        <v>2</v>
      </c>
      <c r="B30" s="47" t="s">
        <v>507</v>
      </c>
      <c r="C30" s="47" t="s">
        <v>508</v>
      </c>
      <c r="D30" s="47" t="s">
        <v>509</v>
      </c>
      <c r="E30" s="47" t="s">
        <v>510</v>
      </c>
      <c r="F30" s="47" t="s">
        <v>511</v>
      </c>
      <c r="G30" s="47" t="s">
        <v>196</v>
      </c>
    </row>
    <row r="31" customFormat="false" ht="21.75" hidden="false" customHeight="true" outlineLevel="0" collapsed="false">
      <c r="A31" s="48" t="s">
        <v>33</v>
      </c>
      <c r="B31" s="46" t="s">
        <v>512</v>
      </c>
      <c r="C31" s="41" t="s">
        <v>513</v>
      </c>
      <c r="D31" s="39" t="s">
        <v>514</v>
      </c>
      <c r="E31" s="24" t="n">
        <v>680000</v>
      </c>
      <c r="F31" s="80" t="s">
        <v>515</v>
      </c>
      <c r="G31" s="77" t="s">
        <v>516</v>
      </c>
    </row>
    <row r="32" customFormat="false" ht="21.75" hidden="false" customHeight="true" outlineLevel="0" collapsed="false">
      <c r="A32" s="62" t="s">
        <v>46</v>
      </c>
      <c r="B32" s="72" t="s">
        <v>517</v>
      </c>
      <c r="C32" s="34" t="s">
        <v>518</v>
      </c>
      <c r="D32" s="32" t="s">
        <v>519</v>
      </c>
      <c r="E32" s="21" t="n">
        <v>480000</v>
      </c>
      <c r="F32" s="81" t="s">
        <v>520</v>
      </c>
      <c r="G32" s="77" t="s">
        <v>516</v>
      </c>
    </row>
    <row r="33" customFormat="false" ht="21.75" hidden="false" customHeight="true" outlineLevel="0" collapsed="false">
      <c r="A33" s="48" t="s">
        <v>64</v>
      </c>
      <c r="B33" s="46" t="s">
        <v>521</v>
      </c>
      <c r="C33" s="41" t="s">
        <v>522</v>
      </c>
      <c r="D33" s="39" t="s">
        <v>523</v>
      </c>
      <c r="E33" s="24" t="n">
        <v>360000</v>
      </c>
      <c r="F33" s="80" t="s">
        <v>524</v>
      </c>
      <c r="G33" s="77" t="s">
        <v>516</v>
      </c>
    </row>
    <row r="34" customFormat="false" ht="21.75" hidden="false" customHeight="true" outlineLevel="0" collapsed="false">
      <c r="A34" s="62" t="s">
        <v>87</v>
      </c>
      <c r="B34" s="72" t="s">
        <v>525</v>
      </c>
      <c r="C34" s="34" t="s">
        <v>526</v>
      </c>
      <c r="D34" s="32" t="s">
        <v>527</v>
      </c>
      <c r="E34" s="21" t="n">
        <v>320000</v>
      </c>
      <c r="F34" s="81" t="s">
        <v>528</v>
      </c>
      <c r="G34" s="77" t="s">
        <v>516</v>
      </c>
    </row>
    <row r="35" customFormat="false" ht="21.75" hidden="false" customHeight="true" outlineLevel="0" collapsed="false">
      <c r="A35" s="48" t="s">
        <v>103</v>
      </c>
      <c r="B35" s="46" t="s">
        <v>529</v>
      </c>
      <c r="C35" s="41" t="s">
        <v>530</v>
      </c>
      <c r="D35" s="39" t="s">
        <v>531</v>
      </c>
      <c r="E35" s="24" t="n">
        <v>240000</v>
      </c>
      <c r="F35" s="80" t="s">
        <v>532</v>
      </c>
      <c r="G35" s="77" t="s">
        <v>516</v>
      </c>
    </row>
    <row r="36" customFormat="false" ht="21.75" hidden="false" customHeight="true" outlineLevel="0" collapsed="false">
      <c r="A36" s="62" t="s">
        <v>113</v>
      </c>
      <c r="B36" s="72" t="s">
        <v>533</v>
      </c>
      <c r="C36" s="34" t="s">
        <v>534</v>
      </c>
      <c r="D36" s="32" t="s">
        <v>535</v>
      </c>
      <c r="E36" s="21" t="n">
        <v>160000</v>
      </c>
      <c r="F36" s="81" t="s">
        <v>536</v>
      </c>
      <c r="G36" s="53" t="s">
        <v>537</v>
      </c>
    </row>
    <row r="37" customFormat="false" ht="21.75" hidden="false" customHeight="true" outlineLevel="0" collapsed="false">
      <c r="A37" s="48" t="s">
        <v>129</v>
      </c>
      <c r="B37" s="46" t="s">
        <v>538</v>
      </c>
      <c r="C37" s="41" t="s">
        <v>539</v>
      </c>
      <c r="D37" s="39" t="s">
        <v>540</v>
      </c>
      <c r="E37" s="24" t="n">
        <v>660000</v>
      </c>
      <c r="F37" s="80" t="s">
        <v>541</v>
      </c>
      <c r="G37" s="77" t="s">
        <v>516</v>
      </c>
    </row>
    <row r="38" customFormat="false" ht="21.75" hidden="false" customHeight="true" outlineLevel="0" collapsed="false">
      <c r="A38" s="62" t="s">
        <v>398</v>
      </c>
      <c r="B38" s="72" t="s">
        <v>542</v>
      </c>
      <c r="C38" s="34" t="s">
        <v>543</v>
      </c>
      <c r="D38" s="32" t="s">
        <v>544</v>
      </c>
      <c r="E38" s="21" t="n">
        <v>100000</v>
      </c>
      <c r="F38" s="81" t="s">
        <v>545</v>
      </c>
      <c r="G38" s="82" t="s">
        <v>546</v>
      </c>
    </row>
    <row r="39" customFormat="false" ht="21.75" hidden="false" customHeight="true" outlineLevel="0" collapsed="false">
      <c r="A39" s="48" t="s">
        <v>402</v>
      </c>
      <c r="B39" s="46" t="s">
        <v>547</v>
      </c>
      <c r="C39" s="41" t="s">
        <v>548</v>
      </c>
      <c r="D39" s="39" t="s">
        <v>544</v>
      </c>
      <c r="E39" s="24" t="n">
        <v>50000</v>
      </c>
      <c r="F39" s="80" t="s">
        <v>549</v>
      </c>
      <c r="G39" s="82" t="s">
        <v>546</v>
      </c>
    </row>
    <row r="40" customFormat="false" ht="21.75" hidden="false" customHeight="true" outlineLevel="0" collapsed="false">
      <c r="A40" s="62" t="s">
        <v>407</v>
      </c>
      <c r="B40" s="72" t="s">
        <v>550</v>
      </c>
      <c r="C40" s="34" t="s">
        <v>551</v>
      </c>
      <c r="D40" s="32" t="s">
        <v>552</v>
      </c>
      <c r="E40" s="21" t="n">
        <v>380000</v>
      </c>
      <c r="F40" s="81" t="s">
        <v>553</v>
      </c>
      <c r="G40" s="82" t="s">
        <v>546</v>
      </c>
    </row>
    <row r="41" customFormat="false" ht="21.75" hidden="false" customHeight="true" outlineLevel="0" collapsed="false">
      <c r="A41" s="48" t="s">
        <v>414</v>
      </c>
      <c r="B41" s="46" t="s">
        <v>554</v>
      </c>
      <c r="C41" s="41" t="s">
        <v>555</v>
      </c>
      <c r="D41" s="39" t="s">
        <v>556</v>
      </c>
      <c r="E41" s="24" t="n">
        <v>230000</v>
      </c>
      <c r="F41" s="80" t="s">
        <v>557</v>
      </c>
      <c r="G41" s="53" t="s">
        <v>537</v>
      </c>
    </row>
    <row r="42" customFormat="false" ht="21.75" hidden="false" customHeight="true" outlineLevel="0" collapsed="false">
      <c r="A42" s="62" t="s">
        <v>419</v>
      </c>
      <c r="B42" s="72" t="s">
        <v>558</v>
      </c>
      <c r="C42" s="34" t="s">
        <v>559</v>
      </c>
      <c r="D42" s="32" t="s">
        <v>560</v>
      </c>
      <c r="E42" s="21" t="n">
        <v>180000</v>
      </c>
      <c r="F42" s="81" t="s">
        <v>561</v>
      </c>
      <c r="G42" s="53" t="s">
        <v>537</v>
      </c>
    </row>
    <row r="43" customFormat="false" ht="19.5" hidden="false" customHeight="true" outlineLevel="0" collapsed="false">
      <c r="A43" s="83" t="s">
        <v>564</v>
      </c>
      <c r="B43" s="83"/>
      <c r="C43" s="83"/>
      <c r="D43" s="83"/>
      <c r="E43" s="78" t="n">
        <f aca="false">SUM(E31:E42)</f>
        <v>3840000</v>
      </c>
      <c r="F43" s="84"/>
      <c r="G43" s="84"/>
    </row>
    <row r="45" customFormat="false" ht="18" hidden="false" customHeight="true" outlineLevel="0" collapsed="false">
      <c r="A45" s="81" t="s">
        <v>565</v>
      </c>
      <c r="B45" s="81"/>
      <c r="C45" s="81"/>
      <c r="D45" s="81"/>
      <c r="E45" s="81"/>
      <c r="F45" s="81"/>
      <c r="G45" s="81"/>
    </row>
    <row r="47" customFormat="false" ht="24" hidden="false" customHeight="true" outlineLevel="0" collapsed="false">
      <c r="A47" s="85" t="s">
        <v>566</v>
      </c>
      <c r="B47" s="85"/>
      <c r="C47" s="85"/>
      <c r="D47" s="85"/>
      <c r="E47" s="85"/>
      <c r="F47" s="85"/>
      <c r="G47" s="85"/>
    </row>
    <row r="48" customFormat="false" ht="15.75" hidden="false" customHeight="true" outlineLevel="0" collapsed="false">
      <c r="A48" s="86" t="s">
        <v>567</v>
      </c>
      <c r="B48" s="86"/>
      <c r="C48" s="86"/>
      <c r="D48" s="86"/>
      <c r="E48" s="86"/>
      <c r="F48" s="86"/>
      <c r="G48" s="86"/>
    </row>
    <row r="49" customFormat="false" ht="15.75" hidden="false" customHeight="true" outlineLevel="0" collapsed="false">
      <c r="A49" s="47" t="s">
        <v>2</v>
      </c>
      <c r="B49" s="47" t="s">
        <v>507</v>
      </c>
      <c r="C49" s="47" t="s">
        <v>508</v>
      </c>
      <c r="D49" s="47" t="s">
        <v>568</v>
      </c>
      <c r="E49" s="47" t="s">
        <v>569</v>
      </c>
      <c r="F49" s="47" t="s">
        <v>511</v>
      </c>
      <c r="G49" s="47" t="s">
        <v>196</v>
      </c>
    </row>
    <row r="50" customFormat="false" ht="21.75" hidden="false" customHeight="true" outlineLevel="0" collapsed="false">
      <c r="A50" s="48" t="s">
        <v>33</v>
      </c>
      <c r="B50" s="46" t="s">
        <v>512</v>
      </c>
      <c r="C50" s="41" t="s">
        <v>570</v>
      </c>
      <c r="D50" s="39" t="s">
        <v>514</v>
      </c>
      <c r="E50" s="87" t="n">
        <v>780000</v>
      </c>
      <c r="F50" s="80" t="s">
        <v>571</v>
      </c>
      <c r="G50" s="77" t="s">
        <v>516</v>
      </c>
    </row>
    <row r="51" customFormat="false" ht="21.75" hidden="false" customHeight="true" outlineLevel="0" collapsed="false">
      <c r="A51" s="62" t="s">
        <v>46</v>
      </c>
      <c r="B51" s="72" t="s">
        <v>517</v>
      </c>
      <c r="C51" s="34" t="s">
        <v>572</v>
      </c>
      <c r="D51" s="32" t="s">
        <v>519</v>
      </c>
      <c r="E51" s="88" t="n">
        <v>520000</v>
      </c>
      <c r="F51" s="81" t="s">
        <v>573</v>
      </c>
      <c r="G51" s="77" t="s">
        <v>516</v>
      </c>
    </row>
    <row r="52" customFormat="false" ht="21.75" hidden="false" customHeight="true" outlineLevel="0" collapsed="false">
      <c r="A52" s="48" t="s">
        <v>64</v>
      </c>
      <c r="B52" s="46" t="s">
        <v>521</v>
      </c>
      <c r="C52" s="41" t="s">
        <v>574</v>
      </c>
      <c r="D52" s="39" t="s">
        <v>523</v>
      </c>
      <c r="E52" s="87" t="n">
        <v>700000</v>
      </c>
      <c r="F52" s="80" t="s">
        <v>575</v>
      </c>
      <c r="G52" s="77" t="s">
        <v>516</v>
      </c>
    </row>
    <row r="53" customFormat="false" ht="21.75" hidden="false" customHeight="true" outlineLevel="0" collapsed="false">
      <c r="A53" s="62" t="s">
        <v>87</v>
      </c>
      <c r="B53" s="72" t="s">
        <v>576</v>
      </c>
      <c r="C53" s="34" t="s">
        <v>577</v>
      </c>
      <c r="D53" s="32" t="s">
        <v>578</v>
      </c>
      <c r="E53" s="88" t="n">
        <v>220000</v>
      </c>
      <c r="F53" s="81" t="s">
        <v>579</v>
      </c>
      <c r="G53" s="77" t="s">
        <v>516</v>
      </c>
    </row>
    <row r="54" customFormat="false" ht="21.75" hidden="false" customHeight="true" outlineLevel="0" collapsed="false">
      <c r="A54" s="48" t="s">
        <v>103</v>
      </c>
      <c r="B54" s="46" t="s">
        <v>580</v>
      </c>
      <c r="C54" s="41" t="s">
        <v>581</v>
      </c>
      <c r="D54" s="39" t="s">
        <v>582</v>
      </c>
      <c r="E54" s="87" t="n">
        <v>260000</v>
      </c>
      <c r="F54" s="80" t="s">
        <v>583</v>
      </c>
      <c r="G54" s="77" t="s">
        <v>516</v>
      </c>
    </row>
    <row r="55" customFormat="false" ht="21.75" hidden="false" customHeight="true" outlineLevel="0" collapsed="false">
      <c r="A55" s="62" t="s">
        <v>113</v>
      </c>
      <c r="B55" s="72" t="s">
        <v>529</v>
      </c>
      <c r="C55" s="34" t="s">
        <v>584</v>
      </c>
      <c r="D55" s="32" t="s">
        <v>531</v>
      </c>
      <c r="E55" s="88" t="n">
        <v>290000</v>
      </c>
      <c r="F55" s="81" t="s">
        <v>585</v>
      </c>
      <c r="G55" s="77" t="s">
        <v>516</v>
      </c>
    </row>
    <row r="56" customFormat="false" ht="21.75" hidden="false" customHeight="true" outlineLevel="0" collapsed="false">
      <c r="A56" s="48" t="s">
        <v>129</v>
      </c>
      <c r="B56" s="46" t="s">
        <v>533</v>
      </c>
      <c r="C56" s="41" t="s">
        <v>586</v>
      </c>
      <c r="D56" s="39" t="s">
        <v>535</v>
      </c>
      <c r="E56" s="87" t="n">
        <v>280000</v>
      </c>
      <c r="F56" s="80" t="s">
        <v>587</v>
      </c>
      <c r="G56" s="82" t="s">
        <v>546</v>
      </c>
    </row>
    <row r="57" customFormat="false" ht="21.75" hidden="false" customHeight="true" outlineLevel="0" collapsed="false">
      <c r="A57" s="62" t="s">
        <v>398</v>
      </c>
      <c r="B57" s="72" t="s">
        <v>588</v>
      </c>
      <c r="C57" s="34" t="s">
        <v>589</v>
      </c>
      <c r="D57" s="32" t="s">
        <v>590</v>
      </c>
      <c r="E57" s="88" t="n">
        <v>680000</v>
      </c>
      <c r="F57" s="81" t="s">
        <v>591</v>
      </c>
      <c r="G57" s="77" t="s">
        <v>516</v>
      </c>
    </row>
    <row r="58" customFormat="false" ht="21.75" hidden="false" customHeight="true" outlineLevel="0" collapsed="false">
      <c r="A58" s="48" t="s">
        <v>402</v>
      </c>
      <c r="B58" s="46" t="s">
        <v>592</v>
      </c>
      <c r="C58" s="41" t="s">
        <v>593</v>
      </c>
      <c r="D58" s="39" t="s">
        <v>594</v>
      </c>
      <c r="E58" s="87" t="n">
        <v>80000</v>
      </c>
      <c r="F58" s="80" t="s">
        <v>595</v>
      </c>
      <c r="G58" s="77" t="s">
        <v>516</v>
      </c>
    </row>
    <row r="59" customFormat="false" ht="21.75" hidden="false" customHeight="true" outlineLevel="0" collapsed="false">
      <c r="A59" s="62" t="s">
        <v>407</v>
      </c>
      <c r="B59" s="72" t="s">
        <v>596</v>
      </c>
      <c r="C59" s="34" t="s">
        <v>597</v>
      </c>
      <c r="D59" s="32" t="s">
        <v>598</v>
      </c>
      <c r="E59" s="88" t="n">
        <v>650000</v>
      </c>
      <c r="F59" s="81" t="s">
        <v>599</v>
      </c>
      <c r="G59" s="53" t="s">
        <v>600</v>
      </c>
    </row>
    <row r="60" customFormat="false" ht="21.75" hidden="false" customHeight="true" outlineLevel="0" collapsed="false">
      <c r="A60" s="48" t="s">
        <v>414</v>
      </c>
      <c r="B60" s="46" t="s">
        <v>601</v>
      </c>
      <c r="C60" s="41" t="s">
        <v>602</v>
      </c>
      <c r="D60" s="39" t="s">
        <v>598</v>
      </c>
      <c r="E60" s="87" t="n">
        <v>120000</v>
      </c>
      <c r="F60" s="80" t="s">
        <v>603</v>
      </c>
      <c r="G60" s="53" t="s">
        <v>600</v>
      </c>
    </row>
    <row r="61" customFormat="false" ht="19.5" hidden="false" customHeight="true" outlineLevel="0" collapsed="false">
      <c r="A61" s="83" t="s">
        <v>604</v>
      </c>
      <c r="B61" s="83"/>
      <c r="C61" s="83"/>
      <c r="D61" s="83"/>
      <c r="E61" s="89" t="n">
        <f aca="false">SUM(E50:E60)</f>
        <v>4580000</v>
      </c>
      <c r="F61" s="90" t="s">
        <v>605</v>
      </c>
      <c r="G61" s="90"/>
    </row>
    <row r="63" customFormat="false" ht="24" hidden="false" customHeight="true" outlineLevel="0" collapsed="false">
      <c r="A63" s="71" t="s">
        <v>606</v>
      </c>
      <c r="B63" s="71"/>
      <c r="C63" s="71"/>
      <c r="D63" s="71"/>
      <c r="E63" s="71"/>
      <c r="F63" s="71"/>
      <c r="G63" s="71"/>
    </row>
    <row r="64" customFormat="false" ht="15.75" hidden="false" customHeight="true" outlineLevel="0" collapsed="false">
      <c r="A64" s="47"/>
      <c r="B64" s="47" t="s">
        <v>486</v>
      </c>
      <c r="C64" s="47" t="s">
        <v>607</v>
      </c>
      <c r="D64" s="47" t="s">
        <v>608</v>
      </c>
      <c r="E64" s="47" t="s">
        <v>609</v>
      </c>
      <c r="F64" s="47" t="s">
        <v>610</v>
      </c>
      <c r="G64" s="47" t="s">
        <v>611</v>
      </c>
    </row>
    <row r="65" customFormat="false" ht="19.5" hidden="false" customHeight="true" outlineLevel="0" collapsed="false">
      <c r="A65" s="91" t="s">
        <v>612</v>
      </c>
      <c r="B65" s="33" t="s">
        <v>613</v>
      </c>
      <c r="C65" s="92" t="n">
        <f aca="false">E27</f>
        <v>3840000</v>
      </c>
      <c r="D65" s="6" t="s">
        <v>614</v>
      </c>
      <c r="E65" s="35" t="s">
        <v>615</v>
      </c>
      <c r="F65" s="6" t="s">
        <v>616</v>
      </c>
      <c r="G65" s="93" t="s">
        <v>617</v>
      </c>
    </row>
    <row r="66" customFormat="false" ht="19.5" hidden="false" customHeight="true" outlineLevel="0" collapsed="false">
      <c r="A66" s="51" t="s">
        <v>618</v>
      </c>
      <c r="B66" s="40" t="s">
        <v>619</v>
      </c>
      <c r="C66" s="94" t="n">
        <f aca="false">E27</f>
        <v>3840000</v>
      </c>
      <c r="D66" s="11" t="s">
        <v>614</v>
      </c>
      <c r="E66" s="42" t="s">
        <v>615</v>
      </c>
      <c r="F66" s="11" t="s">
        <v>616</v>
      </c>
      <c r="G66" s="95" t="s">
        <v>617</v>
      </c>
    </row>
    <row r="67" customFormat="false" ht="19.5" hidden="false" customHeight="true" outlineLevel="0" collapsed="false">
      <c r="A67" s="91" t="s">
        <v>620</v>
      </c>
      <c r="B67" s="33" t="s">
        <v>621</v>
      </c>
      <c r="C67" s="92" t="n">
        <f aca="false">E43</f>
        <v>3840000</v>
      </c>
      <c r="D67" s="6" t="s">
        <v>614</v>
      </c>
      <c r="E67" s="35" t="s">
        <v>615</v>
      </c>
      <c r="F67" s="6" t="s">
        <v>616</v>
      </c>
      <c r="G67" s="93" t="s">
        <v>617</v>
      </c>
    </row>
    <row r="68" customFormat="false" ht="19.5" hidden="false" customHeight="true" outlineLevel="0" collapsed="false">
      <c r="A68" s="51" t="s">
        <v>622</v>
      </c>
      <c r="B68" s="40" t="s">
        <v>623</v>
      </c>
      <c r="C68" s="94" t="n">
        <f aca="false">E43</f>
        <v>3840000</v>
      </c>
      <c r="D68" s="11" t="s">
        <v>614</v>
      </c>
      <c r="E68" s="42" t="s">
        <v>615</v>
      </c>
      <c r="F68" s="11" t="s">
        <v>616</v>
      </c>
      <c r="G68" s="95" t="s">
        <v>617</v>
      </c>
    </row>
    <row r="69" customFormat="false" ht="19.5" hidden="false" customHeight="true" outlineLevel="0" collapsed="false">
      <c r="A69" s="91" t="s">
        <v>624</v>
      </c>
      <c r="B69" s="33" t="s">
        <v>625</v>
      </c>
      <c r="C69" s="92" t="n">
        <f aca="false">E61</f>
        <v>4580000</v>
      </c>
      <c r="D69" s="6" t="s">
        <v>626</v>
      </c>
      <c r="E69" s="35" t="s">
        <v>627</v>
      </c>
      <c r="F69" s="35" t="s">
        <v>628</v>
      </c>
      <c r="G69" s="93" t="s">
        <v>359</v>
      </c>
    </row>
  </sheetData>
  <mergeCells count="15">
    <mergeCell ref="A1:G1"/>
    <mergeCell ref="A2:G2"/>
    <mergeCell ref="A4:G4"/>
    <mergeCell ref="A11:D11"/>
    <mergeCell ref="F11:G11"/>
    <mergeCell ref="A13:G13"/>
    <mergeCell ref="A27:D27"/>
    <mergeCell ref="A29:G29"/>
    <mergeCell ref="A43:D43"/>
    <mergeCell ref="A45:G45"/>
    <mergeCell ref="A47:G47"/>
    <mergeCell ref="A48:G48"/>
    <mergeCell ref="A61:D61"/>
    <mergeCell ref="F61:G61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69" t="s">
        <v>629</v>
      </c>
      <c r="B1" s="69"/>
      <c r="C1" s="69"/>
      <c r="D1" s="69"/>
      <c r="E1" s="69"/>
    </row>
    <row r="2" customFormat="false" ht="15.75" hidden="false" customHeight="true" outlineLevel="0" collapsed="false">
      <c r="A2" s="70" t="s">
        <v>630</v>
      </c>
      <c r="B2" s="70"/>
      <c r="C2" s="70"/>
      <c r="D2" s="70"/>
      <c r="E2" s="70"/>
    </row>
    <row r="3" customFormat="false" ht="7.5" hidden="false" customHeight="true" outlineLevel="0" collapsed="false"/>
    <row r="4" customFormat="false" ht="18" hidden="false" customHeight="true" outlineLevel="0" collapsed="false">
      <c r="A4" s="96" t="s">
        <v>631</v>
      </c>
      <c r="B4" s="96"/>
      <c r="C4" s="96"/>
      <c r="D4" s="96"/>
      <c r="E4" s="96"/>
    </row>
    <row r="5" customFormat="false" ht="15.75" hidden="false" customHeight="true" outlineLevel="0" collapsed="false">
      <c r="A5" s="47" t="s">
        <v>2</v>
      </c>
      <c r="B5" s="47" t="s">
        <v>632</v>
      </c>
      <c r="C5" s="47" t="s">
        <v>633</v>
      </c>
      <c r="D5" s="47" t="s">
        <v>634</v>
      </c>
      <c r="E5" s="47" t="s">
        <v>635</v>
      </c>
    </row>
    <row r="6" customFormat="false" ht="27.75" hidden="false" customHeight="true" outlineLevel="0" collapsed="false">
      <c r="A6" s="62" t="s">
        <v>33</v>
      </c>
      <c r="B6" s="97" t="s">
        <v>636</v>
      </c>
      <c r="C6" s="32" t="s">
        <v>637</v>
      </c>
      <c r="D6" s="81" t="s">
        <v>638</v>
      </c>
      <c r="E6" s="34" t="s">
        <v>639</v>
      </c>
    </row>
    <row r="7" customFormat="false" ht="27.75" hidden="false" customHeight="true" outlineLevel="0" collapsed="false">
      <c r="A7" s="48" t="s">
        <v>46</v>
      </c>
      <c r="B7" s="98" t="s">
        <v>640</v>
      </c>
      <c r="C7" s="39" t="s">
        <v>641</v>
      </c>
      <c r="D7" s="80" t="s">
        <v>642</v>
      </c>
      <c r="E7" s="41" t="s">
        <v>643</v>
      </c>
    </row>
    <row r="8" customFormat="false" ht="27.75" hidden="false" customHeight="true" outlineLevel="0" collapsed="false">
      <c r="A8" s="62" t="s">
        <v>64</v>
      </c>
      <c r="B8" s="97" t="s">
        <v>644</v>
      </c>
      <c r="C8" s="32" t="s">
        <v>645</v>
      </c>
      <c r="D8" s="81" t="s">
        <v>646</v>
      </c>
      <c r="E8" s="34" t="s">
        <v>647</v>
      </c>
    </row>
    <row r="9" customFormat="false" ht="27.75" hidden="false" customHeight="true" outlineLevel="0" collapsed="false">
      <c r="A9" s="48" t="s">
        <v>87</v>
      </c>
      <c r="B9" s="98" t="s">
        <v>648</v>
      </c>
      <c r="C9" s="39" t="s">
        <v>649</v>
      </c>
      <c r="D9" s="80" t="s">
        <v>650</v>
      </c>
      <c r="E9" s="41" t="s">
        <v>651</v>
      </c>
    </row>
    <row r="10" customFormat="false" ht="27.75" hidden="false" customHeight="true" outlineLevel="0" collapsed="false">
      <c r="A10" s="62" t="s">
        <v>103</v>
      </c>
      <c r="B10" s="97" t="s">
        <v>652</v>
      </c>
      <c r="C10" s="32" t="s">
        <v>653</v>
      </c>
      <c r="D10" s="81" t="s">
        <v>654</v>
      </c>
      <c r="E10" s="34" t="s">
        <v>655</v>
      </c>
    </row>
    <row r="12" customFormat="false" ht="18" hidden="false" customHeight="true" outlineLevel="0" collapsed="false">
      <c r="A12" s="96" t="s">
        <v>656</v>
      </c>
      <c r="B12" s="96"/>
      <c r="C12" s="96"/>
      <c r="D12" s="96"/>
      <c r="E12" s="96"/>
    </row>
    <row r="13" customFormat="false" ht="15.75" hidden="false" customHeight="true" outlineLevel="0" collapsed="false">
      <c r="A13" s="47" t="s">
        <v>2</v>
      </c>
      <c r="B13" s="47" t="s">
        <v>507</v>
      </c>
      <c r="C13" s="47" t="s">
        <v>6</v>
      </c>
      <c r="D13" s="47" t="s">
        <v>634</v>
      </c>
      <c r="E13" s="47" t="s">
        <v>635</v>
      </c>
    </row>
    <row r="14" customFormat="false" ht="30" hidden="false" customHeight="true" outlineLevel="0" collapsed="false">
      <c r="A14" s="62" t="s">
        <v>33</v>
      </c>
      <c r="B14" s="97" t="s">
        <v>657</v>
      </c>
      <c r="C14" s="6" t="s">
        <v>658</v>
      </c>
      <c r="D14" s="73" t="s">
        <v>659</v>
      </c>
      <c r="E14" s="99" t="s">
        <v>660</v>
      </c>
    </row>
    <row r="15" customFormat="false" ht="30" hidden="false" customHeight="true" outlineLevel="0" collapsed="false">
      <c r="A15" s="48" t="s">
        <v>46</v>
      </c>
      <c r="B15" s="98" t="s">
        <v>512</v>
      </c>
      <c r="C15" s="11" t="s">
        <v>661</v>
      </c>
      <c r="D15" s="50" t="s">
        <v>662</v>
      </c>
      <c r="E15" s="100" t="s">
        <v>663</v>
      </c>
    </row>
    <row r="16" customFormat="false" ht="30" hidden="false" customHeight="true" outlineLevel="0" collapsed="false">
      <c r="A16" s="62" t="s">
        <v>64</v>
      </c>
      <c r="B16" s="97" t="s">
        <v>664</v>
      </c>
      <c r="C16" s="6" t="s">
        <v>665</v>
      </c>
      <c r="D16" s="73" t="s">
        <v>666</v>
      </c>
      <c r="E16" s="99" t="s">
        <v>667</v>
      </c>
    </row>
    <row r="17" customFormat="false" ht="30" hidden="false" customHeight="true" outlineLevel="0" collapsed="false">
      <c r="A17" s="48" t="s">
        <v>87</v>
      </c>
      <c r="B17" s="98" t="s">
        <v>527</v>
      </c>
      <c r="C17" s="11" t="s">
        <v>668</v>
      </c>
      <c r="D17" s="50" t="s">
        <v>669</v>
      </c>
      <c r="E17" s="100" t="s">
        <v>670</v>
      </c>
    </row>
    <row r="18" customFormat="false" ht="30" hidden="false" customHeight="true" outlineLevel="0" collapsed="false">
      <c r="A18" s="62" t="s">
        <v>103</v>
      </c>
      <c r="B18" s="97" t="s">
        <v>671</v>
      </c>
      <c r="C18" s="6" t="s">
        <v>672</v>
      </c>
      <c r="D18" s="73" t="s">
        <v>673</v>
      </c>
      <c r="E18" s="99" t="s">
        <v>674</v>
      </c>
    </row>
    <row r="19" customFormat="false" ht="30" hidden="false" customHeight="true" outlineLevel="0" collapsed="false">
      <c r="A19" s="48" t="s">
        <v>113</v>
      </c>
      <c r="B19" s="98" t="s">
        <v>675</v>
      </c>
      <c r="C19" s="11" t="s">
        <v>676</v>
      </c>
      <c r="D19" s="50" t="s">
        <v>677</v>
      </c>
      <c r="E19" s="100" t="s">
        <v>678</v>
      </c>
    </row>
    <row r="21" customFormat="false" ht="18" hidden="false" customHeight="true" outlineLevel="0" collapsed="false">
      <c r="A21" s="96" t="s">
        <v>679</v>
      </c>
      <c r="B21" s="96"/>
      <c r="C21" s="96"/>
      <c r="D21" s="96"/>
      <c r="E21" s="96"/>
    </row>
    <row r="22" customFormat="false" ht="15.75" hidden="false" customHeight="true" outlineLevel="0" collapsed="false">
      <c r="A22" s="47" t="s">
        <v>2</v>
      </c>
      <c r="B22" s="47" t="s">
        <v>507</v>
      </c>
      <c r="C22" s="47" t="s">
        <v>6</v>
      </c>
      <c r="D22" s="47" t="s">
        <v>634</v>
      </c>
      <c r="E22" s="47" t="s">
        <v>635</v>
      </c>
    </row>
    <row r="23" customFormat="false" ht="30" hidden="false" customHeight="true" outlineLevel="0" collapsed="false">
      <c r="A23" s="62" t="s">
        <v>33</v>
      </c>
      <c r="B23" s="97" t="s">
        <v>680</v>
      </c>
      <c r="C23" s="6" t="s">
        <v>681</v>
      </c>
      <c r="D23" s="73" t="s">
        <v>682</v>
      </c>
      <c r="E23" s="99" t="s">
        <v>683</v>
      </c>
    </row>
    <row r="24" customFormat="false" ht="30" hidden="false" customHeight="true" outlineLevel="0" collapsed="false">
      <c r="A24" s="48" t="s">
        <v>46</v>
      </c>
      <c r="B24" s="98" t="s">
        <v>684</v>
      </c>
      <c r="C24" s="11" t="s">
        <v>685</v>
      </c>
      <c r="D24" s="50" t="s">
        <v>686</v>
      </c>
      <c r="E24" s="100" t="s">
        <v>687</v>
      </c>
    </row>
    <row r="25" customFormat="false" ht="30" hidden="false" customHeight="true" outlineLevel="0" collapsed="false">
      <c r="A25" s="62" t="s">
        <v>64</v>
      </c>
      <c r="B25" s="97" t="s">
        <v>688</v>
      </c>
      <c r="C25" s="6" t="s">
        <v>689</v>
      </c>
      <c r="D25" s="73" t="s">
        <v>690</v>
      </c>
      <c r="E25" s="99" t="s">
        <v>691</v>
      </c>
    </row>
    <row r="26" customFormat="false" ht="30" hidden="false" customHeight="true" outlineLevel="0" collapsed="false">
      <c r="A26" s="48" t="s">
        <v>87</v>
      </c>
      <c r="B26" s="98" t="s">
        <v>692</v>
      </c>
      <c r="C26" s="11" t="s">
        <v>693</v>
      </c>
      <c r="D26" s="50" t="s">
        <v>694</v>
      </c>
      <c r="E26" s="100" t="s">
        <v>695</v>
      </c>
    </row>
    <row r="27" customFormat="false" ht="30" hidden="false" customHeight="true" outlineLevel="0" collapsed="false">
      <c r="A27" s="62" t="s">
        <v>103</v>
      </c>
      <c r="B27" s="97" t="s">
        <v>696</v>
      </c>
      <c r="C27" s="6" t="s">
        <v>697</v>
      </c>
      <c r="D27" s="73" t="s">
        <v>698</v>
      </c>
      <c r="E27" s="99" t="s">
        <v>699</v>
      </c>
    </row>
    <row r="29" customFormat="false" ht="18" hidden="false" customHeight="true" outlineLevel="0" collapsed="false">
      <c r="A29" s="96" t="s">
        <v>700</v>
      </c>
      <c r="B29" s="96"/>
      <c r="C29" s="96"/>
      <c r="D29" s="96"/>
      <c r="E29" s="96"/>
    </row>
    <row r="30" customFormat="false" ht="15.75" hidden="false" customHeight="true" outlineLevel="0" collapsed="false">
      <c r="A30" s="47" t="s">
        <v>2</v>
      </c>
      <c r="B30" s="47" t="s">
        <v>701</v>
      </c>
      <c r="C30" s="47" t="s">
        <v>6</v>
      </c>
      <c r="D30" s="47" t="s">
        <v>634</v>
      </c>
      <c r="E30" s="47" t="s">
        <v>635</v>
      </c>
    </row>
    <row r="31" customFormat="false" ht="30" hidden="false" customHeight="true" outlineLevel="0" collapsed="false">
      <c r="A31" s="62" t="s">
        <v>33</v>
      </c>
      <c r="B31" s="97" t="s">
        <v>702</v>
      </c>
      <c r="C31" s="6" t="s">
        <v>703</v>
      </c>
      <c r="D31" s="73" t="s">
        <v>704</v>
      </c>
      <c r="E31" s="99" t="s">
        <v>705</v>
      </c>
    </row>
    <row r="32" customFormat="false" ht="30" hidden="false" customHeight="true" outlineLevel="0" collapsed="false">
      <c r="A32" s="48" t="s">
        <v>46</v>
      </c>
      <c r="B32" s="98" t="s">
        <v>706</v>
      </c>
      <c r="C32" s="11" t="s">
        <v>707</v>
      </c>
      <c r="D32" s="50" t="s">
        <v>708</v>
      </c>
      <c r="E32" s="100" t="s">
        <v>709</v>
      </c>
    </row>
    <row r="33" customFormat="false" ht="30" hidden="false" customHeight="true" outlineLevel="0" collapsed="false">
      <c r="A33" s="62" t="s">
        <v>64</v>
      </c>
      <c r="B33" s="97" t="s">
        <v>710</v>
      </c>
      <c r="C33" s="6" t="s">
        <v>711</v>
      </c>
      <c r="D33" s="73" t="s">
        <v>712</v>
      </c>
      <c r="E33" s="99" t="s">
        <v>713</v>
      </c>
    </row>
    <row r="34" customFormat="false" ht="30" hidden="false" customHeight="true" outlineLevel="0" collapsed="false">
      <c r="A34" s="48" t="s">
        <v>87</v>
      </c>
      <c r="B34" s="98" t="s">
        <v>714</v>
      </c>
      <c r="C34" s="11" t="s">
        <v>715</v>
      </c>
      <c r="D34" s="50" t="s">
        <v>716</v>
      </c>
      <c r="E34" s="100" t="s">
        <v>717</v>
      </c>
    </row>
    <row r="35" customFormat="false" ht="30" hidden="false" customHeight="true" outlineLevel="0" collapsed="false">
      <c r="A35" s="62" t="s">
        <v>103</v>
      </c>
      <c r="B35" s="97" t="s">
        <v>718</v>
      </c>
      <c r="C35" s="6" t="s">
        <v>719</v>
      </c>
      <c r="D35" s="73" t="s">
        <v>720</v>
      </c>
      <c r="E35" s="99" t="s">
        <v>721</v>
      </c>
    </row>
    <row r="36" customFormat="false" ht="30" hidden="false" customHeight="true" outlineLevel="0" collapsed="false">
      <c r="A36" s="48" t="s">
        <v>113</v>
      </c>
      <c r="B36" s="98" t="s">
        <v>722</v>
      </c>
      <c r="C36" s="11" t="s">
        <v>723</v>
      </c>
      <c r="D36" s="50" t="s">
        <v>724</v>
      </c>
      <c r="E36" s="100" t="s">
        <v>725</v>
      </c>
    </row>
    <row r="37" customFormat="false" ht="30" hidden="false" customHeight="true" outlineLevel="0" collapsed="false">
      <c r="A37" s="62" t="s">
        <v>129</v>
      </c>
      <c r="B37" s="97" t="s">
        <v>726</v>
      </c>
      <c r="C37" s="6" t="s">
        <v>727</v>
      </c>
      <c r="D37" s="73" t="s">
        <v>728</v>
      </c>
      <c r="E37" s="99" t="s">
        <v>729</v>
      </c>
    </row>
    <row r="40" customFormat="false" ht="13.5" hidden="false" customHeight="true" outlineLevel="0" collapsed="false">
      <c r="A40" s="44" t="s">
        <v>730</v>
      </c>
      <c r="B40" s="44"/>
      <c r="C40" s="44"/>
      <c r="D40" s="44"/>
      <c r="E40" s="44"/>
    </row>
    <row r="41" customFormat="false" ht="13.5" hidden="false" customHeight="true" outlineLevel="0" collapsed="false">
      <c r="A41" s="44" t="s">
        <v>731</v>
      </c>
      <c r="B41" s="44"/>
      <c r="C41" s="44"/>
      <c r="D41" s="44"/>
      <c r="E41" s="44"/>
    </row>
    <row r="42" customFormat="false" ht="13.5" hidden="false" customHeight="true" outlineLevel="0" collapsed="false">
      <c r="A42" s="44" t="s">
        <v>732</v>
      </c>
      <c r="B42" s="44"/>
      <c r="C42" s="44"/>
      <c r="D42" s="44"/>
      <c r="E42" s="44"/>
    </row>
    <row r="43" customFormat="false" ht="13.5" hidden="false" customHeight="true" outlineLevel="0" collapsed="false">
      <c r="A43" s="44" t="s">
        <v>733</v>
      </c>
      <c r="B43" s="44"/>
      <c r="C43" s="44"/>
      <c r="D43" s="44"/>
      <c r="E43" s="44"/>
    </row>
  </sheetData>
  <mergeCells count="10">
    <mergeCell ref="A1:E1"/>
    <mergeCell ref="A2:E2"/>
    <mergeCell ref="A4:E4"/>
    <mergeCell ref="A12:E12"/>
    <mergeCell ref="A21:E21"/>
    <mergeCell ref="A29:E29"/>
    <mergeCell ref="A40:E40"/>
    <mergeCell ref="A41:E41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6"/>
  </cols>
  <sheetData>
    <row r="1" customFormat="false" ht="25.5" hidden="false" customHeight="true" outlineLevel="0" collapsed="false">
      <c r="A1" s="69" t="s">
        <v>734</v>
      </c>
      <c r="B1" s="69"/>
      <c r="C1" s="69"/>
      <c r="D1" s="69"/>
      <c r="E1" s="69"/>
    </row>
    <row r="2" customFormat="false" ht="18" hidden="false" customHeight="true" outlineLevel="0" collapsed="false">
      <c r="A2" s="96" t="s">
        <v>735</v>
      </c>
      <c r="B2" s="96"/>
      <c r="C2" s="96"/>
      <c r="D2" s="96"/>
      <c r="E2" s="96"/>
    </row>
    <row r="3" customFormat="false" ht="18" hidden="false" customHeight="true" outlineLevel="0" collapsed="false">
      <c r="A3" s="47" t="s">
        <v>2</v>
      </c>
      <c r="B3" s="47" t="s">
        <v>736</v>
      </c>
      <c r="C3" s="47" t="s">
        <v>737</v>
      </c>
      <c r="D3" s="47" t="s">
        <v>738</v>
      </c>
      <c r="E3" s="47" t="s">
        <v>739</v>
      </c>
    </row>
    <row r="4" customFormat="false" ht="18" hidden="false" customHeight="true" outlineLevel="0" collapsed="false">
      <c r="A4" s="48" t="s">
        <v>33</v>
      </c>
      <c r="B4" s="101" t="s">
        <v>740</v>
      </c>
      <c r="C4" s="15" t="n">
        <v>150000</v>
      </c>
      <c r="D4" s="61" t="s">
        <v>741</v>
      </c>
      <c r="E4" s="24" t="n">
        <f aca="false">C4*18*4</f>
        <v>10800000</v>
      </c>
    </row>
    <row r="5" customFormat="false" ht="18" hidden="false" customHeight="true" outlineLevel="0" collapsed="false">
      <c r="A5" s="62" t="s">
        <v>46</v>
      </c>
      <c r="B5" s="102" t="s">
        <v>742</v>
      </c>
      <c r="C5" s="10" t="n">
        <v>15000</v>
      </c>
      <c r="D5" s="63" t="s">
        <v>741</v>
      </c>
      <c r="E5" s="21" t="n">
        <f aca="false">C5*18*4</f>
        <v>1080000</v>
      </c>
    </row>
    <row r="6" customFormat="false" ht="18" hidden="false" customHeight="true" outlineLevel="0" collapsed="false">
      <c r="A6" s="48" t="s">
        <v>64</v>
      </c>
      <c r="B6" s="101" t="s">
        <v>743</v>
      </c>
      <c r="C6" s="15" t="n">
        <v>120000</v>
      </c>
      <c r="D6" s="61" t="s">
        <v>741</v>
      </c>
      <c r="E6" s="24" t="n">
        <f aca="false">C6*18*4</f>
        <v>8640000</v>
      </c>
    </row>
    <row r="7" customFormat="false" ht="18" hidden="false" customHeight="true" outlineLevel="0" collapsed="false">
      <c r="A7" s="62" t="s">
        <v>87</v>
      </c>
      <c r="B7" s="102" t="s">
        <v>744</v>
      </c>
      <c r="C7" s="10" t="n">
        <v>25000</v>
      </c>
      <c r="D7" s="63" t="s">
        <v>741</v>
      </c>
      <c r="E7" s="21" t="n">
        <f aca="false">C7*18*4</f>
        <v>1800000</v>
      </c>
    </row>
    <row r="8" customFormat="false" ht="18" hidden="false" customHeight="true" outlineLevel="0" collapsed="false">
      <c r="A8" s="48" t="s">
        <v>103</v>
      </c>
      <c r="B8" s="101" t="s">
        <v>745</v>
      </c>
      <c r="C8" s="15" t="n">
        <v>0</v>
      </c>
      <c r="D8" s="61" t="s">
        <v>741</v>
      </c>
      <c r="E8" s="15" t="n">
        <f aca="false">C8*18*4</f>
        <v>0</v>
      </c>
    </row>
    <row r="9" customFormat="false" ht="15.75" hidden="false" customHeight="true" outlineLevel="0" collapsed="false">
      <c r="A9" s="31" t="s">
        <v>746</v>
      </c>
      <c r="B9" s="31"/>
      <c r="C9" s="31"/>
      <c r="D9" s="31"/>
      <c r="E9" s="18" t="n">
        <f aca="false">SUM(E4:E8)</f>
        <v>22320000</v>
      </c>
    </row>
    <row r="11" customFormat="false" ht="15.75" hidden="false" customHeight="true" outlineLevel="0" collapsed="false">
      <c r="A11" s="86" t="s">
        <v>747</v>
      </c>
      <c r="B11" s="86"/>
      <c r="C11" s="86"/>
      <c r="D11" s="86"/>
      <c r="E11" s="86"/>
    </row>
    <row r="13" customFormat="false" ht="18" hidden="false" customHeight="true" outlineLevel="0" collapsed="false">
      <c r="A13" s="96" t="s">
        <v>748</v>
      </c>
      <c r="B13" s="96"/>
      <c r="C13" s="96"/>
      <c r="D13" s="96"/>
      <c r="E13" s="96"/>
    </row>
    <row r="14" customFormat="false" ht="18" hidden="false" customHeight="true" outlineLevel="0" collapsed="false">
      <c r="A14" s="47" t="s">
        <v>749</v>
      </c>
      <c r="B14" s="47" t="s">
        <v>750</v>
      </c>
      <c r="C14" s="47" t="s">
        <v>751</v>
      </c>
      <c r="D14" s="47" t="s">
        <v>752</v>
      </c>
      <c r="E14" s="47" t="s">
        <v>753</v>
      </c>
    </row>
    <row r="15" customFormat="false" ht="19.5" hidden="false" customHeight="true" outlineLevel="0" collapsed="false">
      <c r="A15" s="11" t="s">
        <v>612</v>
      </c>
      <c r="B15" s="40" t="s">
        <v>754</v>
      </c>
      <c r="C15" s="103" t="n">
        <f aca="false">'SERVIDOR Y EQUIPOS'!E27</f>
        <v>3840000</v>
      </c>
      <c r="D15" s="80" t="s">
        <v>755</v>
      </c>
      <c r="E15" s="24" t="n">
        <f aca="false">ROUND(C15/60*18,0)</f>
        <v>1152000</v>
      </c>
    </row>
    <row r="16" customFormat="false" ht="19.5" hidden="false" customHeight="true" outlineLevel="0" collapsed="false">
      <c r="A16" s="6" t="s">
        <v>618</v>
      </c>
      <c r="B16" s="33" t="s">
        <v>756</v>
      </c>
      <c r="C16" s="104" t="n">
        <f aca="false">'SERVIDOR Y EQUIPOS'!E27</f>
        <v>3840000</v>
      </c>
      <c r="D16" s="81" t="s">
        <v>755</v>
      </c>
      <c r="E16" s="21" t="n">
        <f aca="false">ROUND(C16/60*18,0)</f>
        <v>1152000</v>
      </c>
    </row>
    <row r="17" customFormat="false" ht="19.5" hidden="false" customHeight="true" outlineLevel="0" collapsed="false">
      <c r="A17" s="11" t="s">
        <v>620</v>
      </c>
      <c r="B17" s="40" t="s">
        <v>757</v>
      </c>
      <c r="C17" s="103" t="n">
        <f aca="false">'SERVIDOR Y EQUIPOS'!E43</f>
        <v>3840000</v>
      </c>
      <c r="D17" s="80" t="s">
        <v>755</v>
      </c>
      <c r="E17" s="24" t="n">
        <f aca="false">ROUND(C17/60*18,0)</f>
        <v>1152000</v>
      </c>
    </row>
    <row r="18" customFormat="false" ht="19.5" hidden="false" customHeight="true" outlineLevel="0" collapsed="false">
      <c r="A18" s="6" t="s">
        <v>622</v>
      </c>
      <c r="B18" s="33" t="s">
        <v>758</v>
      </c>
      <c r="C18" s="104" t="n">
        <f aca="false">'SERVIDOR Y EQUIPOS'!E43</f>
        <v>3840000</v>
      </c>
      <c r="D18" s="81" t="s">
        <v>755</v>
      </c>
      <c r="E18" s="21" t="n">
        <f aca="false">ROUND(C18/60*18,0)</f>
        <v>1152000</v>
      </c>
    </row>
    <row r="19" customFormat="false" ht="15.75" hidden="false" customHeight="true" outlineLevel="0" collapsed="false">
      <c r="A19" s="81" t="s">
        <v>759</v>
      </c>
      <c r="B19" s="81"/>
      <c r="C19" s="81"/>
      <c r="D19" s="81"/>
      <c r="E19" s="20"/>
    </row>
    <row r="20" customFormat="false" ht="18" hidden="false" customHeight="true" outlineLevel="0" collapsed="false">
      <c r="A20" s="31" t="s">
        <v>760</v>
      </c>
      <c r="B20" s="31"/>
      <c r="C20" s="31"/>
      <c r="D20" s="31"/>
      <c r="E20" s="18" t="n">
        <f aca="false">ROUND(SUM(E15:E18),0)</f>
        <v>4608000</v>
      </c>
    </row>
    <row r="22" customFormat="false" ht="15.75" hidden="false" customHeight="true" outlineLevel="0" collapsed="false">
      <c r="A22" s="86" t="s">
        <v>761</v>
      </c>
      <c r="B22" s="86"/>
      <c r="C22" s="86"/>
      <c r="D22" s="86"/>
      <c r="E22" s="86"/>
    </row>
    <row r="24" customFormat="false" ht="21.75" hidden="false" customHeight="true" outlineLevel="0" collapsed="false">
      <c r="A24" s="105" t="s">
        <v>762</v>
      </c>
      <c r="B24" s="105"/>
      <c r="C24" s="105"/>
      <c r="D24" s="105"/>
      <c r="E24" s="106" t="n">
        <f aca="false">ROUND(E9+E20,0)</f>
        <v>26928000</v>
      </c>
    </row>
    <row r="26" customFormat="false" ht="15.75" hidden="false" customHeight="true" outlineLevel="0" collapsed="false">
      <c r="A26" s="107" t="s">
        <v>763</v>
      </c>
      <c r="B26" s="107"/>
      <c r="C26" s="107"/>
      <c r="D26" s="107"/>
      <c r="E26" s="107"/>
    </row>
    <row r="27" customFormat="false" ht="13.5" hidden="false" customHeight="true" outlineLevel="0" collapsed="false">
      <c r="A27" s="108" t="s">
        <v>764</v>
      </c>
      <c r="B27" s="108"/>
      <c r="C27" s="108"/>
      <c r="D27" s="108"/>
      <c r="E27" s="108"/>
    </row>
    <row r="28" customFormat="false" ht="13.5" hidden="false" customHeight="true" outlineLevel="0" collapsed="false">
      <c r="A28" s="109" t="s">
        <v>765</v>
      </c>
      <c r="B28" s="109"/>
      <c r="C28" s="109"/>
      <c r="D28" s="109"/>
      <c r="E28" s="109"/>
    </row>
    <row r="29" customFormat="false" ht="13.5" hidden="false" customHeight="true" outlineLevel="0" collapsed="false">
      <c r="A29" s="108" t="s">
        <v>766</v>
      </c>
      <c r="B29" s="108"/>
      <c r="C29" s="108"/>
      <c r="D29" s="108"/>
      <c r="E29" s="108"/>
    </row>
    <row r="30" customFormat="false" ht="13.5" hidden="false" customHeight="true" outlineLevel="0" collapsed="false">
      <c r="A30" s="109" t="s">
        <v>767</v>
      </c>
      <c r="B30" s="109"/>
      <c r="C30" s="109"/>
      <c r="D30" s="109"/>
      <c r="E30" s="109"/>
    </row>
  </sheetData>
  <mergeCells count="14">
    <mergeCell ref="A1:E1"/>
    <mergeCell ref="A2:E2"/>
    <mergeCell ref="A9:D9"/>
    <mergeCell ref="A11:E11"/>
    <mergeCell ref="A13:E13"/>
    <mergeCell ref="A19:D19"/>
    <mergeCell ref="A20:D20"/>
    <mergeCell ref="A22:E22"/>
    <mergeCell ref="A24:D24"/>
    <mergeCell ref="A26:E26"/>
    <mergeCell ref="A27:E27"/>
    <mergeCell ref="A28:E28"/>
    <mergeCell ref="A29:E2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25.5" hidden="false" customHeight="true" outlineLevel="0" collapsed="false">
      <c r="A1" s="28" t="s">
        <v>768</v>
      </c>
      <c r="B1" s="28"/>
      <c r="C1" s="28"/>
      <c r="D1" s="28"/>
      <c r="E1" s="28"/>
    </row>
    <row r="2" customFormat="false" ht="18" hidden="false" customHeight="true" outlineLevel="0" collapsed="false">
      <c r="A2" s="45" t="s">
        <v>769</v>
      </c>
      <c r="B2" s="45"/>
      <c r="C2" s="45"/>
      <c r="D2" s="45"/>
      <c r="E2" s="45"/>
    </row>
    <row r="3" customFormat="false" ht="15.75" hidden="false" customHeight="true" outlineLevel="0" collapsed="false">
      <c r="A3" s="47" t="s">
        <v>2</v>
      </c>
      <c r="B3" s="47" t="s">
        <v>770</v>
      </c>
      <c r="C3" s="47" t="s">
        <v>771</v>
      </c>
      <c r="D3" s="47" t="s">
        <v>772</v>
      </c>
      <c r="E3" s="47" t="s">
        <v>773</v>
      </c>
    </row>
    <row r="4" customFormat="false" ht="15.75" hidden="false" customHeight="true" outlineLevel="0" collapsed="false">
      <c r="A4" s="30" t="s">
        <v>33</v>
      </c>
      <c r="B4" s="110" t="s">
        <v>774</v>
      </c>
      <c r="C4" s="16"/>
      <c r="D4" s="16"/>
      <c r="E4" s="16"/>
    </row>
    <row r="5" customFormat="false" ht="18" hidden="false" customHeight="true" outlineLevel="0" collapsed="false">
      <c r="A5" s="48" t="s">
        <v>35</v>
      </c>
      <c r="B5" s="12" t="s">
        <v>775</v>
      </c>
      <c r="C5" s="111" t="s">
        <v>776</v>
      </c>
      <c r="D5" s="42" t="s">
        <v>777</v>
      </c>
      <c r="E5" s="112" t="n">
        <v>0</v>
      </c>
    </row>
    <row r="6" customFormat="false" ht="18" hidden="false" customHeight="true" outlineLevel="0" collapsed="false">
      <c r="A6" s="62" t="s">
        <v>40</v>
      </c>
      <c r="B6" s="7" t="s">
        <v>778</v>
      </c>
      <c r="C6" s="113" t="s">
        <v>779</v>
      </c>
      <c r="D6" s="35" t="s">
        <v>780</v>
      </c>
      <c r="E6" s="10" t="n">
        <v>0</v>
      </c>
    </row>
    <row r="7" customFormat="false" ht="18" hidden="false" customHeight="true" outlineLevel="0" collapsed="false">
      <c r="A7" s="48" t="s">
        <v>43</v>
      </c>
      <c r="B7" s="12" t="s">
        <v>781</v>
      </c>
      <c r="C7" s="111" t="s">
        <v>782</v>
      </c>
      <c r="D7" s="42" t="s">
        <v>777</v>
      </c>
      <c r="E7" s="112" t="n">
        <v>0</v>
      </c>
    </row>
    <row r="8" customFormat="false" ht="18" hidden="false" customHeight="true" outlineLevel="0" collapsed="false">
      <c r="A8" s="62"/>
      <c r="B8" s="7" t="s">
        <v>783</v>
      </c>
      <c r="C8" s="113" t="s">
        <v>784</v>
      </c>
      <c r="D8" s="35" t="s">
        <v>785</v>
      </c>
      <c r="E8" s="114" t="n">
        <v>0</v>
      </c>
    </row>
    <row r="9" customFormat="false" ht="18" hidden="false" customHeight="true" outlineLevel="0" collapsed="false">
      <c r="A9" s="48"/>
      <c r="B9" s="12" t="s">
        <v>521</v>
      </c>
      <c r="C9" s="111" t="s">
        <v>786</v>
      </c>
      <c r="D9" s="42" t="s">
        <v>785</v>
      </c>
      <c r="E9" s="112" t="n">
        <v>0</v>
      </c>
    </row>
    <row r="10" customFormat="false" ht="18" hidden="false" customHeight="true" outlineLevel="0" collapsed="false">
      <c r="A10" s="62"/>
      <c r="B10" s="7" t="s">
        <v>787</v>
      </c>
      <c r="C10" s="113" t="s">
        <v>788</v>
      </c>
      <c r="D10" s="35" t="s">
        <v>785</v>
      </c>
      <c r="E10" s="114" t="n">
        <v>0</v>
      </c>
    </row>
    <row r="11" customFormat="false" ht="15.75" hidden="false" customHeight="true" outlineLevel="0" collapsed="false">
      <c r="A11" s="64" t="s">
        <v>789</v>
      </c>
      <c r="B11" s="64"/>
      <c r="C11" s="64"/>
      <c r="D11" s="64"/>
      <c r="E11" s="115" t="n">
        <v>0</v>
      </c>
    </row>
    <row r="13" customFormat="false" ht="18" hidden="false" customHeight="true" outlineLevel="0" collapsed="false">
      <c r="A13" s="45" t="s">
        <v>790</v>
      </c>
      <c r="B13" s="45"/>
      <c r="C13" s="45"/>
      <c r="D13" s="45"/>
      <c r="E13" s="45"/>
    </row>
    <row r="14" customFormat="false" ht="15.75" hidden="false" customHeight="true" outlineLevel="0" collapsed="false">
      <c r="A14" s="47" t="s">
        <v>2</v>
      </c>
      <c r="B14" s="47" t="s">
        <v>791</v>
      </c>
      <c r="C14" s="47" t="s">
        <v>792</v>
      </c>
      <c r="D14" s="47" t="s">
        <v>793</v>
      </c>
      <c r="E14" s="47" t="s">
        <v>739</v>
      </c>
    </row>
    <row r="15" customFormat="false" ht="15.75" hidden="false" customHeight="true" outlineLevel="0" collapsed="false">
      <c r="A15" s="48" t="s">
        <v>33</v>
      </c>
      <c r="B15" s="12" t="s">
        <v>794</v>
      </c>
      <c r="C15" s="116" t="s">
        <v>795</v>
      </c>
      <c r="D15" s="117" t="s">
        <v>796</v>
      </c>
      <c r="E15" s="112" t="n">
        <v>0</v>
      </c>
    </row>
    <row r="16" customFormat="false" ht="15.75" hidden="false" customHeight="true" outlineLevel="0" collapsed="false">
      <c r="A16" s="62" t="s">
        <v>35</v>
      </c>
      <c r="B16" s="7" t="s">
        <v>797</v>
      </c>
      <c r="C16" s="118" t="s">
        <v>798</v>
      </c>
      <c r="D16" s="119" t="s">
        <v>796</v>
      </c>
      <c r="E16" s="114" t="n">
        <v>0</v>
      </c>
    </row>
    <row r="17" customFormat="false" ht="15.75" hidden="false" customHeight="true" outlineLevel="0" collapsed="false">
      <c r="A17" s="48" t="s">
        <v>46</v>
      </c>
      <c r="B17" s="12" t="s">
        <v>799</v>
      </c>
      <c r="C17" s="116" t="s">
        <v>800</v>
      </c>
      <c r="D17" s="117" t="s">
        <v>801</v>
      </c>
      <c r="E17" s="112" t="n">
        <v>0</v>
      </c>
    </row>
    <row r="18" customFormat="false" ht="15.75" hidden="false" customHeight="true" outlineLevel="0" collapsed="false">
      <c r="A18" s="62" t="s">
        <v>64</v>
      </c>
      <c r="B18" s="7" t="s">
        <v>802</v>
      </c>
      <c r="C18" s="118" t="s">
        <v>803</v>
      </c>
      <c r="D18" s="119" t="s">
        <v>796</v>
      </c>
      <c r="E18" s="114" t="n">
        <v>0</v>
      </c>
    </row>
    <row r="19" customFormat="false" ht="15.75" hidden="false" customHeight="true" outlineLevel="0" collapsed="false">
      <c r="A19" s="48" t="s">
        <v>87</v>
      </c>
      <c r="B19" s="12" t="s">
        <v>804</v>
      </c>
      <c r="C19" s="116" t="s">
        <v>805</v>
      </c>
      <c r="D19" s="117" t="s">
        <v>796</v>
      </c>
      <c r="E19" s="112" t="n">
        <v>0</v>
      </c>
    </row>
    <row r="20" customFormat="false" ht="15.75" hidden="false" customHeight="true" outlineLevel="0" collapsed="false">
      <c r="A20" s="62" t="s">
        <v>103</v>
      </c>
      <c r="B20" s="7" t="s">
        <v>806</v>
      </c>
      <c r="C20" s="118" t="s">
        <v>807</v>
      </c>
      <c r="D20" s="119" t="s">
        <v>796</v>
      </c>
      <c r="E20" s="114" t="n">
        <v>0</v>
      </c>
    </row>
    <row r="21" customFormat="false" ht="15.75" hidden="false" customHeight="true" outlineLevel="0" collapsed="false">
      <c r="A21" s="48" t="s">
        <v>113</v>
      </c>
      <c r="B21" s="12" t="s">
        <v>808</v>
      </c>
      <c r="C21" s="116" t="s">
        <v>809</v>
      </c>
      <c r="D21" s="117" t="s">
        <v>796</v>
      </c>
      <c r="E21" s="112" t="n">
        <v>0</v>
      </c>
    </row>
    <row r="22" customFormat="false" ht="15.75" hidden="false" customHeight="true" outlineLevel="0" collapsed="false">
      <c r="A22" s="62" t="s">
        <v>129</v>
      </c>
      <c r="B22" s="7" t="s">
        <v>810</v>
      </c>
      <c r="C22" s="118" t="s">
        <v>811</v>
      </c>
      <c r="D22" s="119" t="s">
        <v>812</v>
      </c>
      <c r="E22" s="114" t="n">
        <v>0</v>
      </c>
    </row>
    <row r="23" customFormat="false" ht="15.75" hidden="false" customHeight="true" outlineLevel="0" collapsed="false">
      <c r="A23" s="48" t="s">
        <v>398</v>
      </c>
      <c r="B23" s="12" t="s">
        <v>813</v>
      </c>
      <c r="C23" s="116" t="s">
        <v>814</v>
      </c>
      <c r="D23" s="117" t="s">
        <v>815</v>
      </c>
      <c r="E23" s="112" t="n">
        <v>0</v>
      </c>
    </row>
    <row r="24" customFormat="false" ht="15.75" hidden="false" customHeight="true" outlineLevel="0" collapsed="false">
      <c r="A24" s="62" t="s">
        <v>402</v>
      </c>
      <c r="B24" s="7" t="s">
        <v>816</v>
      </c>
      <c r="C24" s="113" t="s">
        <v>817</v>
      </c>
      <c r="D24" s="119" t="s">
        <v>818</v>
      </c>
      <c r="E24" s="21" t="n">
        <v>83333</v>
      </c>
    </row>
    <row r="25" customFormat="false" ht="15.75" hidden="false" customHeight="true" outlineLevel="0" collapsed="false">
      <c r="A25" s="64" t="s">
        <v>819</v>
      </c>
      <c r="B25" s="64"/>
      <c r="C25" s="64"/>
      <c r="D25" s="64"/>
      <c r="E25" s="115" t="n">
        <f aca="false">SUM(E15:E24)</f>
        <v>83333</v>
      </c>
    </row>
    <row r="27" customFormat="false" ht="18" hidden="false" customHeight="true" outlineLevel="0" collapsed="false">
      <c r="A27" s="45" t="s">
        <v>820</v>
      </c>
      <c r="B27" s="45"/>
      <c r="C27" s="45"/>
      <c r="D27" s="45"/>
      <c r="E27" s="45"/>
    </row>
    <row r="28" customFormat="false" ht="15.75" hidden="false" customHeight="true" outlineLevel="0" collapsed="false">
      <c r="A28" s="47" t="s">
        <v>2</v>
      </c>
      <c r="B28" s="47" t="s">
        <v>821</v>
      </c>
      <c r="C28" s="47" t="s">
        <v>822</v>
      </c>
      <c r="D28" s="47" t="s">
        <v>823</v>
      </c>
      <c r="E28" s="47" t="s">
        <v>739</v>
      </c>
    </row>
    <row r="29" customFormat="false" ht="18" hidden="false" customHeight="true" outlineLevel="0" collapsed="false">
      <c r="A29" s="120" t="s">
        <v>824</v>
      </c>
      <c r="B29" s="121" t="s">
        <v>825</v>
      </c>
      <c r="C29" s="122" t="s">
        <v>826</v>
      </c>
      <c r="D29" s="123" t="s">
        <v>827</v>
      </c>
      <c r="E29" s="124"/>
    </row>
    <row r="30" customFormat="false" ht="18" hidden="false" customHeight="true" outlineLevel="0" collapsed="false">
      <c r="A30" s="62" t="s">
        <v>828</v>
      </c>
      <c r="B30" s="7" t="s">
        <v>829</v>
      </c>
      <c r="C30" s="118" t="s">
        <v>830</v>
      </c>
      <c r="D30" s="104" t="n">
        <v>63000</v>
      </c>
      <c r="E30" s="21" t="n">
        <v>378000</v>
      </c>
    </row>
    <row r="31" customFormat="false" ht="18" hidden="false" customHeight="true" outlineLevel="0" collapsed="false">
      <c r="A31" s="48" t="s">
        <v>831</v>
      </c>
      <c r="B31" s="12" t="s">
        <v>832</v>
      </c>
      <c r="C31" s="116" t="s">
        <v>833</v>
      </c>
      <c r="D31" s="103" t="n">
        <v>42000</v>
      </c>
      <c r="E31" s="24" t="n">
        <v>168000</v>
      </c>
    </row>
    <row r="32" customFormat="false" ht="18" hidden="false" customHeight="true" outlineLevel="0" collapsed="false">
      <c r="A32" s="62" t="s">
        <v>834</v>
      </c>
      <c r="B32" s="7" t="s">
        <v>835</v>
      </c>
      <c r="C32" s="118" t="s">
        <v>836</v>
      </c>
      <c r="D32" s="104" t="n">
        <v>8400</v>
      </c>
      <c r="E32" s="21" t="n">
        <v>50400</v>
      </c>
    </row>
    <row r="33" customFormat="false" ht="18" hidden="false" customHeight="true" outlineLevel="0" collapsed="false">
      <c r="A33" s="48" t="s">
        <v>837</v>
      </c>
      <c r="B33" s="12" t="s">
        <v>838</v>
      </c>
      <c r="C33" s="116" t="s">
        <v>839</v>
      </c>
      <c r="D33" s="125" t="s">
        <v>359</v>
      </c>
      <c r="E33" s="126" t="n">
        <v>0</v>
      </c>
    </row>
    <row r="34" customFormat="false" ht="18" hidden="false" customHeight="true" outlineLevel="0" collapsed="false">
      <c r="A34" s="120" t="s">
        <v>840</v>
      </c>
      <c r="B34" s="121" t="s">
        <v>841</v>
      </c>
      <c r="C34" s="122" t="s">
        <v>842</v>
      </c>
      <c r="D34" s="123" t="s">
        <v>843</v>
      </c>
      <c r="E34" s="124"/>
    </row>
    <row r="35" customFormat="false" ht="18" hidden="false" customHeight="true" outlineLevel="0" collapsed="false">
      <c r="A35" s="120" t="s">
        <v>844</v>
      </c>
      <c r="B35" s="121" t="s">
        <v>845</v>
      </c>
      <c r="C35" s="122" t="s">
        <v>846</v>
      </c>
      <c r="D35" s="123" t="s">
        <v>843</v>
      </c>
      <c r="E35" s="124"/>
    </row>
    <row r="36" customFormat="false" ht="18" hidden="false" customHeight="true" outlineLevel="0" collapsed="false">
      <c r="A36" s="62"/>
      <c r="B36" s="7" t="s">
        <v>847</v>
      </c>
      <c r="C36" s="118" t="s">
        <v>848</v>
      </c>
      <c r="D36" s="127" t="s">
        <v>359</v>
      </c>
      <c r="E36" s="128" t="n">
        <v>0</v>
      </c>
    </row>
    <row r="37" customFormat="false" ht="18" hidden="false" customHeight="true" outlineLevel="0" collapsed="false">
      <c r="A37" s="48"/>
      <c r="B37" s="12" t="s">
        <v>816</v>
      </c>
      <c r="C37" s="116" t="s">
        <v>849</v>
      </c>
      <c r="D37" s="125" t="s">
        <v>359</v>
      </c>
      <c r="E37" s="126" t="n">
        <v>0</v>
      </c>
    </row>
    <row r="38" customFormat="false" ht="15.75" hidden="false" customHeight="true" outlineLevel="0" collapsed="false">
      <c r="A38" s="64" t="s">
        <v>850</v>
      </c>
      <c r="B38" s="64"/>
      <c r="C38" s="64"/>
      <c r="D38" s="64"/>
      <c r="E38" s="115" t="n">
        <f aca="false">SUM(E29:E37)</f>
        <v>596400</v>
      </c>
    </row>
    <row r="40" customFormat="false" ht="19.5" hidden="false" customHeight="true" outlineLevel="0" collapsed="false">
      <c r="A40" s="129" t="s">
        <v>851</v>
      </c>
      <c r="B40" s="129"/>
      <c r="C40" s="129"/>
      <c r="D40" s="129"/>
      <c r="E40" s="66" t="n">
        <f aca="false">E25+E38</f>
        <v>679733</v>
      </c>
    </row>
    <row r="42" customFormat="false" ht="13.5" hidden="false" customHeight="true" outlineLevel="0" collapsed="false">
      <c r="A42" s="68" t="s">
        <v>852</v>
      </c>
      <c r="B42" s="68"/>
      <c r="C42" s="68"/>
      <c r="D42" s="68"/>
      <c r="E42" s="68"/>
    </row>
    <row r="43" customFormat="false" ht="13.5" hidden="false" customHeight="true" outlineLevel="0" collapsed="false">
      <c r="A43" s="44" t="s">
        <v>853</v>
      </c>
      <c r="B43" s="44"/>
      <c r="C43" s="44"/>
      <c r="D43" s="44"/>
      <c r="E43" s="44"/>
    </row>
    <row r="44" customFormat="false" ht="13.5" hidden="false" customHeight="true" outlineLevel="0" collapsed="false">
      <c r="A44" s="44" t="s">
        <v>854</v>
      </c>
      <c r="B44" s="44"/>
      <c r="C44" s="44"/>
      <c r="D44" s="44"/>
      <c r="E44" s="44"/>
    </row>
    <row r="45" customFormat="false" ht="13.5" hidden="false" customHeight="true" outlineLevel="0" collapsed="false">
      <c r="A45" s="44" t="s">
        <v>855</v>
      </c>
      <c r="B45" s="44"/>
      <c r="C45" s="44"/>
      <c r="D45" s="44"/>
      <c r="E45" s="44"/>
    </row>
    <row r="46" customFormat="false" ht="13.5" hidden="false" customHeight="true" outlineLevel="0" collapsed="false">
      <c r="A46" s="44" t="s">
        <v>856</v>
      </c>
      <c r="B46" s="44"/>
      <c r="C46" s="44"/>
      <c r="D46" s="44"/>
      <c r="E46" s="44"/>
    </row>
    <row r="47" customFormat="false" ht="13.5" hidden="false" customHeight="true" outlineLevel="0" collapsed="false">
      <c r="A47" s="44" t="s">
        <v>857</v>
      </c>
      <c r="B47" s="44"/>
      <c r="C47" s="44"/>
      <c r="D47" s="44"/>
      <c r="E47" s="44"/>
    </row>
    <row r="48" customFormat="false" ht="13.5" hidden="false" customHeight="true" outlineLevel="0" collapsed="false">
      <c r="A48" s="44" t="s">
        <v>858</v>
      </c>
      <c r="B48" s="44"/>
      <c r="C48" s="44"/>
      <c r="D48" s="44"/>
      <c r="E48" s="44"/>
    </row>
    <row r="49" customFormat="false" ht="13.5" hidden="false" customHeight="true" outlineLevel="0" collapsed="false">
      <c r="A49" s="44" t="s">
        <v>859</v>
      </c>
      <c r="B49" s="44"/>
      <c r="C49" s="44"/>
      <c r="D49" s="44"/>
      <c r="E49" s="44"/>
    </row>
    <row r="50" customFormat="false" ht="13.5" hidden="false" customHeight="true" outlineLevel="0" collapsed="false">
      <c r="A50" s="44" t="s">
        <v>860</v>
      </c>
      <c r="B50" s="44"/>
      <c r="C50" s="44"/>
      <c r="D50" s="44"/>
      <c r="E50" s="44"/>
    </row>
  </sheetData>
  <mergeCells count="17">
    <mergeCell ref="A1:E1"/>
    <mergeCell ref="A2:E2"/>
    <mergeCell ref="A11:D11"/>
    <mergeCell ref="A13:E13"/>
    <mergeCell ref="A25:D25"/>
    <mergeCell ref="A27:E27"/>
    <mergeCell ref="A38:D38"/>
    <mergeCell ref="A40:D40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54"/>
    <col collapsed="false" customWidth="true" hidden="false" outlineLevel="0" max="4" min="4" style="1" width="4"/>
  </cols>
  <sheetData>
    <row r="1" customFormat="false" ht="25.5" hidden="false" customHeight="true" outlineLevel="0" collapsed="false">
      <c r="A1" s="28" t="s">
        <v>861</v>
      </c>
      <c r="B1" s="28"/>
      <c r="C1" s="28"/>
    </row>
    <row r="2" customFormat="false" ht="18" hidden="false" customHeight="true" outlineLevel="0" collapsed="false">
      <c r="A2" s="45" t="s">
        <v>862</v>
      </c>
      <c r="B2" s="45"/>
      <c r="C2" s="45"/>
    </row>
    <row r="3" customFormat="false" ht="39.75" hidden="false" customHeight="true" outlineLevel="0" collapsed="false">
      <c r="A3" s="23"/>
      <c r="B3" s="130" t="s">
        <v>863</v>
      </c>
      <c r="C3" s="131" t="s">
        <v>864</v>
      </c>
    </row>
    <row r="4" customFormat="false" ht="39.75" hidden="false" customHeight="true" outlineLevel="0" collapsed="false">
      <c r="A4" s="20"/>
      <c r="B4" s="132" t="s">
        <v>865</v>
      </c>
      <c r="C4" s="133" t="s">
        <v>866</v>
      </c>
    </row>
    <row r="5" customFormat="false" ht="39.75" hidden="false" customHeight="true" outlineLevel="0" collapsed="false">
      <c r="A5" s="23"/>
      <c r="B5" s="130" t="s">
        <v>867</v>
      </c>
      <c r="C5" s="131" t="s">
        <v>868</v>
      </c>
    </row>
    <row r="6" customFormat="false" ht="39.75" hidden="false" customHeight="true" outlineLevel="0" collapsed="false">
      <c r="A6" s="20"/>
      <c r="B6" s="132" t="s">
        <v>869</v>
      </c>
      <c r="C6" s="133" t="s">
        <v>870</v>
      </c>
    </row>
    <row r="7" customFormat="false" ht="39.75" hidden="false" customHeight="true" outlineLevel="0" collapsed="false">
      <c r="A7" s="23"/>
      <c r="B7" s="130" t="s">
        <v>871</v>
      </c>
      <c r="C7" s="131" t="s">
        <v>872</v>
      </c>
    </row>
    <row r="8" customFormat="false" ht="39.75" hidden="false" customHeight="true" outlineLevel="0" collapsed="false">
      <c r="A8" s="20"/>
      <c r="B8" s="132" t="s">
        <v>873</v>
      </c>
      <c r="C8" s="133" t="s">
        <v>874</v>
      </c>
    </row>
    <row r="9" customFormat="false" ht="39.75" hidden="false" customHeight="true" outlineLevel="0" collapsed="false">
      <c r="A9" s="23"/>
      <c r="B9" s="130" t="s">
        <v>875</v>
      </c>
      <c r="C9" s="131" t="s">
        <v>876</v>
      </c>
    </row>
    <row r="10" customFormat="false" ht="39.75" hidden="false" customHeight="true" outlineLevel="0" collapsed="false">
      <c r="A10" s="20"/>
      <c r="B10" s="132" t="s">
        <v>877</v>
      </c>
      <c r="C10" s="133" t="s">
        <v>878</v>
      </c>
    </row>
    <row r="11" customFormat="false" ht="39.75" hidden="false" customHeight="true" outlineLevel="0" collapsed="false">
      <c r="A11" s="23"/>
      <c r="B11" s="130" t="s">
        <v>879</v>
      </c>
      <c r="C11" s="131" t="s">
        <v>880</v>
      </c>
    </row>
    <row r="12" customFormat="false" ht="39.75" hidden="false" customHeight="true" outlineLevel="0" collapsed="false">
      <c r="A12" s="20"/>
      <c r="B12" s="132" t="s">
        <v>881</v>
      </c>
      <c r="C12" s="133" t="s">
        <v>882</v>
      </c>
    </row>
    <row r="13" customFormat="false" ht="18" hidden="false" customHeight="true" outlineLevel="0" collapsed="false">
      <c r="A13" s="134" t="s">
        <v>883</v>
      </c>
      <c r="B13" s="134"/>
      <c r="C13" s="134"/>
    </row>
    <row r="14" customFormat="false" ht="30" hidden="false" customHeight="true" outlineLevel="0" collapsed="false">
      <c r="A14" s="20"/>
      <c r="B14" s="132" t="s">
        <v>884</v>
      </c>
      <c r="C14" s="133" t="s">
        <v>885</v>
      </c>
    </row>
    <row r="15" customFormat="false" ht="30" hidden="false" customHeight="true" outlineLevel="0" collapsed="false">
      <c r="A15" s="23"/>
      <c r="B15" s="130" t="s">
        <v>886</v>
      </c>
      <c r="C15" s="131" t="s">
        <v>887</v>
      </c>
    </row>
    <row r="16" customFormat="false" ht="30" hidden="false" customHeight="true" outlineLevel="0" collapsed="false">
      <c r="A16" s="20"/>
      <c r="B16" s="132" t="s">
        <v>888</v>
      </c>
      <c r="C16" s="133" t="s">
        <v>889</v>
      </c>
    </row>
    <row r="18" customFormat="false" ht="13.5" hidden="false" customHeight="true" outlineLevel="0" collapsed="false">
      <c r="A18" s="68" t="s">
        <v>890</v>
      </c>
      <c r="B18" s="68"/>
      <c r="C18" s="68"/>
    </row>
    <row r="19" customFormat="false" ht="13.5" hidden="false" customHeight="true" outlineLevel="0" collapsed="false">
      <c r="A19" s="44" t="s">
        <v>891</v>
      </c>
      <c r="B19" s="44"/>
      <c r="C19" s="44"/>
    </row>
    <row r="20" customFormat="false" ht="13.5" hidden="false" customHeight="true" outlineLevel="0" collapsed="false">
      <c r="A20" s="44" t="s">
        <v>892</v>
      </c>
      <c r="B20" s="44"/>
      <c r="C20" s="44"/>
    </row>
    <row r="21" customFormat="false" ht="13.5" hidden="false" customHeight="true" outlineLevel="0" collapsed="false">
      <c r="A21" s="44" t="s">
        <v>893</v>
      </c>
      <c r="B21" s="44"/>
      <c r="C21" s="44"/>
    </row>
    <row r="22" customFormat="false" ht="13.5" hidden="false" customHeight="true" outlineLevel="0" collapsed="false">
      <c r="A22" s="44" t="s">
        <v>894</v>
      </c>
      <c r="B22" s="44"/>
      <c r="C22" s="44"/>
    </row>
  </sheetData>
  <mergeCells count="8">
    <mergeCell ref="A1:C1"/>
    <mergeCell ref="A2:C2"/>
    <mergeCell ref="A13:C13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38"/>
  </cols>
  <sheetData>
    <row r="1" customFormat="false" ht="25.5" hidden="false" customHeight="true" outlineLevel="0" collapsed="false">
      <c r="A1" s="69" t="s">
        <v>895</v>
      </c>
      <c r="B1" s="69"/>
      <c r="C1" s="69"/>
      <c r="D1" s="69"/>
      <c r="E1" s="69"/>
    </row>
    <row r="2" customFormat="false" ht="15.75" hidden="false" customHeight="true" outlineLevel="0" collapsed="false">
      <c r="A2" s="70" t="s">
        <v>896</v>
      </c>
      <c r="B2" s="70"/>
      <c r="C2" s="70"/>
      <c r="D2" s="70"/>
      <c r="E2" s="70"/>
    </row>
    <row r="3" customFormat="false" ht="7.5" hidden="false" customHeight="true" outlineLevel="0" collapsed="false"/>
    <row r="4" customFormat="false" ht="18" hidden="false" customHeight="true" outlineLevel="0" collapsed="false">
      <c r="A4" s="96" t="s">
        <v>897</v>
      </c>
      <c r="B4" s="96"/>
      <c r="C4" s="96"/>
      <c r="D4" s="96"/>
      <c r="E4" s="96"/>
    </row>
    <row r="5" customFormat="false" ht="15.75" hidden="false" customHeight="true" outlineLevel="0" collapsed="false">
      <c r="A5" s="47" t="s">
        <v>2</v>
      </c>
      <c r="B5" s="47" t="s">
        <v>898</v>
      </c>
      <c r="C5" s="47" t="s">
        <v>899</v>
      </c>
      <c r="D5" s="47" t="s">
        <v>900</v>
      </c>
      <c r="E5" s="47" t="s">
        <v>490</v>
      </c>
    </row>
    <row r="6" customFormat="false" ht="21.75" hidden="false" customHeight="true" outlineLevel="0" collapsed="false">
      <c r="A6" s="62" t="s">
        <v>33</v>
      </c>
      <c r="B6" s="97" t="s">
        <v>901</v>
      </c>
      <c r="C6" s="35" t="s">
        <v>902</v>
      </c>
      <c r="D6" s="135" t="s">
        <v>903</v>
      </c>
      <c r="E6" s="81" t="s">
        <v>904</v>
      </c>
    </row>
    <row r="7" customFormat="false" ht="21.75" hidden="false" customHeight="true" outlineLevel="0" collapsed="false">
      <c r="A7" s="48" t="s">
        <v>46</v>
      </c>
      <c r="B7" s="98" t="s">
        <v>905</v>
      </c>
      <c r="C7" s="42" t="s">
        <v>906</v>
      </c>
      <c r="D7" s="136" t="s">
        <v>907</v>
      </c>
      <c r="E7" s="80" t="s">
        <v>908</v>
      </c>
    </row>
    <row r="8" customFormat="false" ht="21.75" hidden="false" customHeight="true" outlineLevel="0" collapsed="false">
      <c r="A8" s="62" t="s">
        <v>64</v>
      </c>
      <c r="B8" s="97" t="s">
        <v>909</v>
      </c>
      <c r="C8" s="35" t="s">
        <v>910</v>
      </c>
      <c r="D8" s="135" t="s">
        <v>911</v>
      </c>
      <c r="E8" s="81" t="s">
        <v>912</v>
      </c>
    </row>
    <row r="9" customFormat="false" ht="21.75" hidden="false" customHeight="true" outlineLevel="0" collapsed="false">
      <c r="A9" s="48" t="s">
        <v>87</v>
      </c>
      <c r="B9" s="98" t="s">
        <v>913</v>
      </c>
      <c r="C9" s="42" t="s">
        <v>914</v>
      </c>
      <c r="D9" s="136" t="s">
        <v>915</v>
      </c>
      <c r="E9" s="80" t="s">
        <v>916</v>
      </c>
    </row>
    <row r="10" customFormat="false" ht="21.75" hidden="false" customHeight="true" outlineLevel="0" collapsed="false">
      <c r="A10" s="62" t="s">
        <v>103</v>
      </c>
      <c r="B10" s="97" t="s">
        <v>917</v>
      </c>
      <c r="C10" s="35" t="s">
        <v>918</v>
      </c>
      <c r="D10" s="135" t="s">
        <v>919</v>
      </c>
      <c r="E10" s="81" t="s">
        <v>920</v>
      </c>
    </row>
    <row r="12" customFormat="false" ht="18" hidden="false" customHeight="true" outlineLevel="0" collapsed="false">
      <c r="A12" s="96" t="s">
        <v>921</v>
      </c>
      <c r="B12" s="96"/>
      <c r="C12" s="96"/>
      <c r="D12" s="96"/>
      <c r="E12" s="96"/>
    </row>
    <row r="13" customFormat="false" ht="15.75" hidden="false" customHeight="true" outlineLevel="0" collapsed="false">
      <c r="A13" s="47" t="s">
        <v>2</v>
      </c>
      <c r="B13" s="47" t="s">
        <v>922</v>
      </c>
      <c r="C13" s="47" t="s">
        <v>923</v>
      </c>
      <c r="D13" s="47" t="s">
        <v>900</v>
      </c>
      <c r="E13" s="47" t="s">
        <v>490</v>
      </c>
    </row>
    <row r="14" customFormat="false" ht="21.75" hidden="false" customHeight="true" outlineLevel="0" collapsed="false">
      <c r="A14" s="62" t="s">
        <v>33</v>
      </c>
      <c r="B14" s="97" t="s">
        <v>924</v>
      </c>
      <c r="C14" s="32" t="s">
        <v>925</v>
      </c>
      <c r="D14" s="135" t="s">
        <v>926</v>
      </c>
      <c r="E14" s="81" t="s">
        <v>927</v>
      </c>
    </row>
    <row r="15" customFormat="false" ht="21.75" hidden="false" customHeight="true" outlineLevel="0" collapsed="false">
      <c r="A15" s="48" t="s">
        <v>46</v>
      </c>
      <c r="B15" s="98" t="s">
        <v>928</v>
      </c>
      <c r="C15" s="39" t="s">
        <v>929</v>
      </c>
      <c r="D15" s="136" t="s">
        <v>930</v>
      </c>
      <c r="E15" s="80" t="s">
        <v>931</v>
      </c>
    </row>
    <row r="16" customFormat="false" ht="21.75" hidden="false" customHeight="true" outlineLevel="0" collapsed="false">
      <c r="A16" s="62" t="s">
        <v>64</v>
      </c>
      <c r="B16" s="97" t="s">
        <v>932</v>
      </c>
      <c r="C16" s="32" t="s">
        <v>933</v>
      </c>
      <c r="D16" s="135" t="s">
        <v>934</v>
      </c>
      <c r="E16" s="81" t="s">
        <v>935</v>
      </c>
    </row>
    <row r="17" customFormat="false" ht="21.75" hidden="false" customHeight="true" outlineLevel="0" collapsed="false">
      <c r="A17" s="48" t="s">
        <v>87</v>
      </c>
      <c r="B17" s="98" t="s">
        <v>936</v>
      </c>
      <c r="C17" s="39" t="s">
        <v>937</v>
      </c>
      <c r="D17" s="136" t="s">
        <v>938</v>
      </c>
      <c r="E17" s="80" t="s">
        <v>939</v>
      </c>
    </row>
    <row r="18" customFormat="false" ht="21.75" hidden="false" customHeight="true" outlineLevel="0" collapsed="false">
      <c r="A18" s="62" t="s">
        <v>103</v>
      </c>
      <c r="B18" s="97" t="s">
        <v>940</v>
      </c>
      <c r="C18" s="32" t="s">
        <v>941</v>
      </c>
      <c r="D18" s="135" t="s">
        <v>942</v>
      </c>
      <c r="E18" s="81" t="s">
        <v>943</v>
      </c>
    </row>
    <row r="19" customFormat="false" ht="21.75" hidden="false" customHeight="true" outlineLevel="0" collapsed="false">
      <c r="A19" s="48" t="s">
        <v>113</v>
      </c>
      <c r="B19" s="98" t="s">
        <v>944</v>
      </c>
      <c r="C19" s="39" t="s">
        <v>941</v>
      </c>
      <c r="D19" s="136" t="s">
        <v>945</v>
      </c>
      <c r="E19" s="80" t="s">
        <v>943</v>
      </c>
    </row>
    <row r="20" customFormat="false" ht="21.75" hidden="false" customHeight="true" outlineLevel="0" collapsed="false">
      <c r="A20" s="62" t="s">
        <v>129</v>
      </c>
      <c r="B20" s="97" t="s">
        <v>946</v>
      </c>
      <c r="C20" s="32" t="s">
        <v>947</v>
      </c>
      <c r="D20" s="135" t="s">
        <v>948</v>
      </c>
      <c r="E20" s="81" t="s">
        <v>949</v>
      </c>
    </row>
    <row r="21" customFormat="false" ht="21.75" hidden="false" customHeight="true" outlineLevel="0" collapsed="false">
      <c r="A21" s="48" t="s">
        <v>398</v>
      </c>
      <c r="B21" s="98" t="s">
        <v>950</v>
      </c>
      <c r="C21" s="39" t="s">
        <v>951</v>
      </c>
      <c r="D21" s="136" t="s">
        <v>952</v>
      </c>
      <c r="E21" s="80" t="s">
        <v>953</v>
      </c>
    </row>
    <row r="23" customFormat="false" ht="18" hidden="false" customHeight="true" outlineLevel="0" collapsed="false">
      <c r="A23" s="96" t="s">
        <v>954</v>
      </c>
      <c r="B23" s="96"/>
      <c r="C23" s="96"/>
      <c r="D23" s="96"/>
      <c r="E23" s="96"/>
    </row>
    <row r="24" customFormat="false" ht="15.75" hidden="false" customHeight="true" outlineLevel="0" collapsed="false">
      <c r="A24" s="47" t="s">
        <v>2</v>
      </c>
      <c r="B24" s="47" t="s">
        <v>736</v>
      </c>
      <c r="C24" s="47" t="s">
        <v>569</v>
      </c>
      <c r="D24" s="47" t="s">
        <v>900</v>
      </c>
      <c r="E24" s="47" t="s">
        <v>490</v>
      </c>
    </row>
    <row r="25" customFormat="false" ht="21.75" hidden="false" customHeight="true" outlineLevel="0" collapsed="false">
      <c r="A25" s="62" t="s">
        <v>33</v>
      </c>
      <c r="B25" s="97" t="s">
        <v>955</v>
      </c>
      <c r="C25" s="35" t="s">
        <v>956</v>
      </c>
      <c r="D25" s="135" t="s">
        <v>957</v>
      </c>
      <c r="E25" s="81" t="s">
        <v>958</v>
      </c>
    </row>
    <row r="26" customFormat="false" ht="21.75" hidden="false" customHeight="true" outlineLevel="0" collapsed="false">
      <c r="A26" s="48" t="s">
        <v>46</v>
      </c>
      <c r="B26" s="98" t="s">
        <v>959</v>
      </c>
      <c r="C26" s="42" t="s">
        <v>960</v>
      </c>
      <c r="D26" s="136" t="s">
        <v>961</v>
      </c>
      <c r="E26" s="80" t="s">
        <v>962</v>
      </c>
    </row>
    <row r="27" customFormat="false" ht="21.75" hidden="false" customHeight="true" outlineLevel="0" collapsed="false">
      <c r="A27" s="62" t="s">
        <v>64</v>
      </c>
      <c r="B27" s="97" t="s">
        <v>963</v>
      </c>
      <c r="C27" s="35" t="s">
        <v>964</v>
      </c>
      <c r="D27" s="135" t="s">
        <v>965</v>
      </c>
      <c r="E27" s="81" t="s">
        <v>966</v>
      </c>
    </row>
    <row r="28" customFormat="false" ht="21.75" hidden="false" customHeight="true" outlineLevel="0" collapsed="false">
      <c r="A28" s="48" t="s">
        <v>87</v>
      </c>
      <c r="B28" s="98" t="s">
        <v>967</v>
      </c>
      <c r="C28" s="42" t="s">
        <v>964</v>
      </c>
      <c r="D28" s="136" t="s">
        <v>968</v>
      </c>
      <c r="E28" s="80" t="s">
        <v>969</v>
      </c>
    </row>
    <row r="30" customFormat="false" ht="18" hidden="false" customHeight="true" outlineLevel="0" collapsed="false">
      <c r="A30" s="96" t="s">
        <v>970</v>
      </c>
      <c r="B30" s="96"/>
      <c r="C30" s="96"/>
      <c r="D30" s="96"/>
      <c r="E30" s="96"/>
    </row>
    <row r="31" customFormat="false" ht="15.75" hidden="false" customHeight="true" outlineLevel="0" collapsed="false">
      <c r="A31" s="47" t="s">
        <v>2</v>
      </c>
      <c r="B31" s="47" t="s">
        <v>701</v>
      </c>
      <c r="C31" s="47" t="s">
        <v>971</v>
      </c>
      <c r="D31" s="47" t="s">
        <v>900</v>
      </c>
      <c r="E31" s="47" t="s">
        <v>490</v>
      </c>
    </row>
    <row r="32" customFormat="false" ht="21.75" hidden="false" customHeight="true" outlineLevel="0" collapsed="false">
      <c r="A32" s="62" t="s">
        <v>33</v>
      </c>
      <c r="B32" s="97" t="s">
        <v>972</v>
      </c>
      <c r="C32" s="35" t="s">
        <v>973</v>
      </c>
      <c r="D32" s="135" t="s">
        <v>974</v>
      </c>
      <c r="E32" s="81" t="s">
        <v>975</v>
      </c>
    </row>
    <row r="33" customFormat="false" ht="21.75" hidden="false" customHeight="true" outlineLevel="0" collapsed="false">
      <c r="A33" s="48" t="s">
        <v>46</v>
      </c>
      <c r="B33" s="98" t="s">
        <v>976</v>
      </c>
      <c r="C33" s="42" t="s">
        <v>977</v>
      </c>
      <c r="D33" s="136" t="s">
        <v>978</v>
      </c>
      <c r="E33" s="80" t="s">
        <v>979</v>
      </c>
    </row>
    <row r="34" customFormat="false" ht="21.75" hidden="false" customHeight="true" outlineLevel="0" collapsed="false">
      <c r="A34" s="62" t="s">
        <v>64</v>
      </c>
      <c r="B34" s="97" t="s">
        <v>980</v>
      </c>
      <c r="C34" s="35" t="s">
        <v>981</v>
      </c>
      <c r="D34" s="135" t="s">
        <v>982</v>
      </c>
      <c r="E34" s="81" t="s">
        <v>983</v>
      </c>
    </row>
    <row r="35" customFormat="false" ht="21.75" hidden="false" customHeight="true" outlineLevel="0" collapsed="false">
      <c r="A35" s="48" t="s">
        <v>87</v>
      </c>
      <c r="B35" s="98" t="s">
        <v>984</v>
      </c>
      <c r="C35" s="42" t="s">
        <v>985</v>
      </c>
      <c r="D35" s="136" t="s">
        <v>986</v>
      </c>
      <c r="E35" s="80" t="s">
        <v>987</v>
      </c>
    </row>
    <row r="36" customFormat="false" ht="21.75" hidden="false" customHeight="true" outlineLevel="0" collapsed="false">
      <c r="A36" s="62" t="s">
        <v>103</v>
      </c>
      <c r="B36" s="97" t="s">
        <v>988</v>
      </c>
      <c r="C36" s="35" t="s">
        <v>989</v>
      </c>
      <c r="D36" s="135" t="s">
        <v>990</v>
      </c>
      <c r="E36" s="81" t="s">
        <v>991</v>
      </c>
    </row>
    <row r="39" customFormat="false" ht="13.5" hidden="false" customHeight="true" outlineLevel="0" collapsed="false">
      <c r="A39" s="137" t="s">
        <v>992</v>
      </c>
      <c r="B39" s="137"/>
      <c r="C39" s="137"/>
      <c r="D39" s="137"/>
      <c r="E39" s="137"/>
    </row>
    <row r="40" customFormat="false" ht="13.5" hidden="false" customHeight="true" outlineLevel="0" collapsed="false">
      <c r="A40" s="137" t="s">
        <v>993</v>
      </c>
      <c r="B40" s="137"/>
      <c r="C40" s="137"/>
      <c r="D40" s="137"/>
      <c r="E40" s="137"/>
    </row>
    <row r="41" customFormat="false" ht="13.5" hidden="false" customHeight="true" outlineLevel="0" collapsed="false">
      <c r="A41" s="137" t="s">
        <v>994</v>
      </c>
      <c r="B41" s="137"/>
      <c r="C41" s="137"/>
      <c r="D41" s="137"/>
      <c r="E41" s="137"/>
    </row>
  </sheetData>
  <mergeCells count="9">
    <mergeCell ref="A1:E1"/>
    <mergeCell ref="A2:E2"/>
    <mergeCell ref="A4:E4"/>
    <mergeCell ref="A12:E12"/>
    <mergeCell ref="A23:E23"/>
    <mergeCell ref="A30:E30"/>
    <mergeCell ref="A39:E39"/>
    <mergeCell ref="A40:E40"/>
    <mergeCell ref="A41:E41"/>
  </mergeCells>
  <hyperlinks>
    <hyperlink ref="D6" r:id="rId1" display="https://www.glassdoor.com.mx/Sueldos/colombia-desarrollador-de-software-sueldo-SRCH_IL.0,8_IN47_KO9,34.htm"/>
    <hyperlink ref="D7" r:id="rId2" display="https://co.indeed.com/career/desarrollador-de-software/salaries"/>
    <hyperlink ref="D8" r:id="rId3" display="https://tusalario.org/colombia/carrera/funcion-y-salario/desarrolladores-de-software"/>
    <hyperlink ref="D9" r:id="rId4" display="https://www.coderhouse.com/us/sueldos/sueldo-desarrollador-full-stack-colombia-2025"/>
    <hyperlink ref="D10" r:id="rId5" display="https://talently.tech/herramientas/colombia/salario"/>
    <hyperlink ref="D14" r:id="rId6" display="https://aws.amazon.com/es/ec2/pricing/on-demand/"/>
    <hyperlink ref="D15" r:id="rId7" display="https://calculator.aws/pricing/2/metahtml"/>
    <hyperlink ref="D16" r:id="rId8" display="https://aws.amazon.com/es/rds/mysql/pricing/"/>
    <hyperlink ref="D17" r:id="rId9" display="https://aws.amazon.com/es/s3/pricing/"/>
    <hyperlink ref="D18" r:id="rId10" display="https://azure.microsoft.com/es-es/pricing/calculator/"/>
    <hyperlink ref="D19" r:id="rId11" display="https://cloud.google.com/products/calculator"/>
    <hyperlink ref="D20" r:id="rId12" display="https://nic.co/"/>
    <hyperlink ref="D21" r:id="rId13" display="https://www.banrep.gov.co/es/estadisticas/trm"/>
    <hyperlink ref="D25" r:id="rId14" display="https://www.codensa.com.co"/>
    <hyperlink ref="D26" r:id="rId15" display="https://www.claro.com.co/personas/servicios/internet/"/>
    <hyperlink ref="D27" r:id="rId16" display="https://www.alkosto.com/computadores-y-tablets/computadores-portatiles"/>
    <hyperlink ref="D28" r:id="rId17" display="https://www.exito.com/tecnologia/computadores/portatiles"/>
    <hyperlink ref="D32" r:id="rId18" display="https://leyes.co/codigo_sustantivo_del_trabajo/34.htm"/>
    <hyperlink ref="D33" r:id="rId19" display="https://www.dian.gov.co/"/>
    <hyperlink ref="D34" r:id="rId20" display="https://www.mintic.gov.co/portal/inicio/"/>
    <hyperlink ref="D35" r:id="rId21" display="https://www.sena.edu.co/"/>
    <hyperlink ref="D36" r:id="rId22" display="https://www.iso.org/standard/35733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2026-06-09T15:47:20Z</dcterms:created>
  <dc:creator>openpyxl</dc:creator>
  <dc:description/>
  <dc:language>en-US</dc:language>
  <cp:lastModifiedBy/>
  <dcterms:modified xsi:type="dcterms:W3CDTF">2026-07-02T16:28:23Z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